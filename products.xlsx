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rainage &amp; Piping" sheetId="2" state="visible" r:id="rId2"/>
    <sheet xmlns:r="http://schemas.openxmlformats.org/officeDocument/2006/relationships" name="Accessories &amp; Sinks" sheetId="3" state="visible" r:id="rId3"/>
    <sheet xmlns:r="http://schemas.openxmlformats.org/officeDocument/2006/relationships" name="Clamps" sheetId="4" state="visible" r:id="rId4"/>
  </sheets>
  <definedNames>
    <definedName name="_xlnm._FilterDatabase" localSheetId="1" hidden="1">'Drainage &amp; Piping'!$A$3:$J$108</definedName>
    <definedName name="_xlnm._FilterDatabase" localSheetId="2" hidden="1">'Accessories &amp; Sinks'!$A$3:$J$58</definedName>
    <definedName name="_xlnm._FilterDatabase" localSheetId="3" hidden="1">'Clamps'!$A$3:$J$26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₹&quot;#,##0"/>
    <numFmt numFmtId="166" formatCode="&quot;₹&quot;#,##0.00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8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2F5496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  <font>
      <name val="Calibri"/>
      <b val="1"/>
      <color rgb="002F5496"/>
      <sz val="11"/>
    </font>
    <font>
      <name val="Calibri"/>
      <b val="1"/>
      <color rgb="002F5496"/>
      <sz val="14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ffffff"/>
      </left>
      <right style="thin">
        <color rgb="00ffffff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5" fillId="2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5" fillId="4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10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165" fontId="7" fillId="5" borderId="3" applyAlignment="1" pivotButton="0" quotePrefix="0" xfId="0">
      <alignment horizontal="right" vertical="center"/>
    </xf>
    <xf numFmtId="165" fontId="5" fillId="4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/>
    </xf>
    <xf numFmtId="165" fontId="5" fillId="0" borderId="8" applyAlignment="1" pivotButton="0" quotePrefix="0" xfId="0">
      <alignment horizontal="right" vertical="center"/>
    </xf>
    <xf numFmtId="165" fontId="5" fillId="4" borderId="8" applyAlignment="1" pivotButton="0" quotePrefix="0" xfId="0">
      <alignment horizontal="right" vertical="center"/>
    </xf>
    <xf numFmtId="166" fontId="7" fillId="5" borderId="3" applyAlignment="1" pivotButton="0" quotePrefix="0" xfId="0">
      <alignment horizontal="right" vertical="center"/>
    </xf>
    <xf numFmtId="166" fontId="5" fillId="4" borderId="3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166" fontId="5" fillId="0" borderId="8" applyAlignment="1" pivotButton="0" quotePrefix="0" xfId="0">
      <alignment horizontal="right" vertical="center"/>
    </xf>
    <xf numFmtId="166" fontId="5" fillId="4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rainage &amp; Piping'!A1" TargetMode="External" Id="rId1"/><Relationship Type="http://schemas.openxmlformats.org/officeDocument/2006/relationships/hyperlink" Target="#'Accessories &amp; Sinks'!A1" TargetMode="External" Id="rId2"/><Relationship Type="http://schemas.openxmlformats.org/officeDocument/2006/relationships/hyperlink" Target="#'Clamps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Overview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Overview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Overview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</cols>
  <sheetData>
    <row r="1">
      <c r="A1" s="1" t="inlineStr">
        <is>
          <t>AQUAI FLAWLESS ELEGANCE</t>
        </is>
      </c>
    </row>
    <row r="2">
      <c r="A2" s="2" t="inlineStr">
        <is>
          <t>Interactive Master Product Catalogue &amp; Price Calculator (Vol 8.2)</t>
        </is>
      </c>
    </row>
    <row r="3">
      <c r="A3" s="3" t="inlineStr">
        <is>
          <t>Authorized Distributor: CORE ENTRADE INDIA PVT LTD | Paschim Boragaon, NH 37, Guwahati - 781034</t>
        </is>
      </c>
    </row>
    <row r="5">
      <c r="A5" s="4" t="inlineStr">
        <is>
          <t>DEALER PRICING CALCULATOR INTERFACE</t>
        </is>
      </c>
    </row>
    <row r="6">
      <c r="A6" s="2" t="inlineStr">
        <is>
          <t>Enter your discount percentage below to dynamically update your custom purchase prices across all product sheets:</t>
        </is>
      </c>
    </row>
    <row r="8">
      <c r="A8" s="5" t="inlineStr">
        <is>
          <t>Dealer Discount Factor (%)</t>
        </is>
      </c>
      <c r="B8" s="6" t="n">
        <v>0.1</v>
      </c>
    </row>
    <row r="11">
      <c r="A11" s="4" t="inlineStr">
        <is>
          <t>TABLE OF CONTENTS &amp; SHEETS INDEX</t>
        </is>
      </c>
    </row>
    <row r="12">
      <c r="A12" s="7" t="inlineStr">
        <is>
          <t>Sheet Name</t>
        </is>
      </c>
      <c r="B12" s="7" t="inlineStr">
        <is>
          <t>Description</t>
        </is>
      </c>
      <c r="C12" s="7" t="inlineStr">
        <is>
          <t>Total Products</t>
        </is>
      </c>
      <c r="D12" s="7" t="inlineStr">
        <is>
          <t>Sheet Link</t>
        </is>
      </c>
    </row>
    <row r="13">
      <c r="A13" s="5" t="inlineStr">
        <is>
          <t>Drainage &amp; Piping</t>
        </is>
      </c>
      <c r="B13" s="8" t="inlineStr">
        <is>
          <t>Showers, floor traps, heavy linear drains, couplings, valves, and cisterns.</t>
        </is>
      </c>
      <c r="C13" s="9">
        <f>COUNTA('Drainage &amp; Piping'!D4:D115)</f>
        <v/>
      </c>
      <c r="D13" s="10" t="inlineStr">
        <is>
          <t>Go to Sheet →</t>
        </is>
      </c>
    </row>
    <row r="14">
      <c r="A14" s="5" t="inlineStr">
        <is>
          <t>Accessories &amp; Sinks</t>
        </is>
      </c>
      <c r="B14" s="8" t="inlineStr">
        <is>
          <t>Daizy, Elite (Gold, Rose Gold, Chrome), Brava Series, SS Sinks, and Mirror Cabinets.</t>
        </is>
      </c>
      <c r="C14" s="9">
        <f>COUNTA('Accessories &amp; Sinks'!D4:D65)</f>
        <v/>
      </c>
      <c r="D14" s="10" t="inlineStr">
        <is>
          <t>Go to Sheet →</t>
        </is>
      </c>
    </row>
    <row r="15">
      <c r="A15" s="5" t="inlineStr">
        <is>
          <t>Clamps</t>
        </is>
      </c>
      <c r="B15" s="8" t="inlineStr">
        <is>
          <t>Heavy-duty double nail clamps for uPVC and cPVC pipe management (and Saijal clamps).</t>
        </is>
      </c>
      <c r="C15" s="9">
        <f>COUNTA('Clamps'!D4:D33)</f>
        <v/>
      </c>
      <c r="D15" s="10" t="inlineStr">
        <is>
          <t>Go to Sheet →</t>
        </is>
      </c>
    </row>
    <row r="17">
      <c r="A17" s="5" t="inlineStr">
        <is>
          <t>Total Database Summary</t>
        </is>
      </c>
      <c r="B17" s="11">
        <f>SUM(C13:C15)</f>
        <v/>
      </c>
    </row>
    <row r="19">
      <c r="A19" s="12" t="inlineStr">
        <is>
          <t>VISUAL LEGEND &amp; FORMATTING KEY</t>
        </is>
      </c>
    </row>
    <row r="20">
      <c r="A20" s="13" t="inlineStr">
        <is>
          <t>Blue Highlight (Input)</t>
        </is>
      </c>
      <c r="B20" s="14" t="inlineStr">
        <is>
          <t>Editable cell. You can change this value (e.g. Discount %).</t>
        </is>
      </c>
      <c r="C20" s="15" t="n"/>
      <c r="D20" s="16" t="n"/>
    </row>
    <row r="21">
      <c r="A21" s="17" t="inlineStr">
        <is>
          <t>Green Highlight (Output)</t>
        </is>
      </c>
      <c r="B21" s="14" t="inlineStr">
        <is>
          <t>Calculated cell containing dynamic formulas. Do not overwrite.</t>
        </is>
      </c>
      <c r="C21" s="15" t="n"/>
      <c r="D21" s="16" t="n"/>
    </row>
    <row r="22">
      <c r="A22" s="18" t="inlineStr">
        <is>
          <t>Zebra Striping (Light Gray)</t>
        </is>
      </c>
      <c r="B22" s="14" t="inlineStr">
        <is>
          <t>Aesthetic alternating rows for high legibility.</t>
        </is>
      </c>
      <c r="C22" s="15" t="n"/>
      <c r="D22" s="16" t="n"/>
    </row>
    <row r="23">
      <c r="A23" s="19" t="inlineStr">
        <is>
          <t>Dark Navy Header</t>
        </is>
      </c>
      <c r="B23" s="14" t="inlineStr">
        <is>
          <t>Main table column headers.</t>
        </is>
      </c>
      <c r="C23" s="15" t="n"/>
      <c r="D23" s="16" t="n"/>
    </row>
  </sheetData>
  <mergeCells count="4">
    <mergeCell ref="B23:D23"/>
    <mergeCell ref="B22:D22"/>
    <mergeCell ref="B21:D21"/>
    <mergeCell ref="B20:D20"/>
  </mergeCells>
  <hyperlinks>
    <hyperlink xmlns:r="http://schemas.openxmlformats.org/officeDocument/2006/relationships" ref="D13" r:id="rId1"/>
    <hyperlink xmlns:r="http://schemas.openxmlformats.org/officeDocument/2006/relationships" ref="D14" r:id="rId2"/>
    <hyperlink xmlns:r="http://schemas.openxmlformats.org/officeDocument/2006/relationships" ref="D1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49" customWidth="1" min="3" max="3"/>
    <col width="19" customWidth="1" min="4" max="4"/>
    <col width="25" customWidth="1" min="5" max="5"/>
    <col width="22" customWidth="1" min="6" max="6"/>
    <col width="23" customWidth="1" min="7" max="7"/>
    <col width="18" customWidth="1" min="8" max="8"/>
    <col width="17" customWidth="1" min="9" max="9"/>
    <col width="59" customWidth="1" min="10" max="10"/>
  </cols>
  <sheetData>
    <row r="1">
      <c r="A1" s="20" t="inlineStr">
        <is>
          <t>AQUAI - DRAINAGE &amp; PIPING COMPLETE PRODUCTS LIST (VOL 8.2)</t>
        </is>
      </c>
      <c r="H1" s="21" t="inlineStr">
        <is>
          <t>← Return to Overview</t>
        </is>
      </c>
    </row>
    <row r="2"/>
    <row r="3">
      <c r="A3" s="22" t="inlineStr">
        <is>
          <t>Category</t>
        </is>
      </c>
      <c r="B3" s="22" t="inlineStr">
        <is>
          <t>Series / Finish</t>
        </is>
      </c>
      <c r="C3" s="22" t="inlineStr">
        <is>
          <t>Product Name</t>
        </is>
      </c>
      <c r="D3" s="22" t="inlineStr">
        <is>
          <t>Code No.</t>
        </is>
      </c>
      <c r="E3" s="22" t="inlineStr">
        <is>
          <t>Size / Dimensions</t>
        </is>
      </c>
      <c r="F3" s="22" t="inlineStr">
        <is>
          <t>Material</t>
        </is>
      </c>
      <c r="G3" s="22" t="inlineStr">
        <is>
          <t>Dealer Price (D.P.)</t>
        </is>
      </c>
      <c r="H3" s="22" t="inlineStr">
        <is>
          <t>Your Net Price</t>
        </is>
      </c>
      <c r="I3" s="22" t="inlineStr">
        <is>
          <t>Std / Box Pkg</t>
        </is>
      </c>
      <c r="J3" s="22" t="inlineStr">
        <is>
          <t>Key Features / Notes</t>
        </is>
      </c>
    </row>
    <row r="4">
      <c r="A4" s="23" t="inlineStr">
        <is>
          <t>Showers</t>
        </is>
      </c>
      <c r="B4" s="23" t="inlineStr">
        <is>
          <t>Ultra Slim Shower K Series</t>
        </is>
      </c>
      <c r="C4" s="23" t="inlineStr">
        <is>
          <t>Ultra Slim Shower (SS-202 Mirror Finish)</t>
        </is>
      </c>
      <c r="D4" s="24" t="inlineStr">
        <is>
          <t>BH-139-4</t>
        </is>
      </c>
      <c r="E4" s="24" t="inlineStr">
        <is>
          <t>100x100mm</t>
        </is>
      </c>
      <c r="F4" s="24" t="inlineStr">
        <is>
          <t>SS-202</t>
        </is>
      </c>
      <c r="G4" s="25" t="n">
        <v>430</v>
      </c>
      <c r="H4" s="26">
        <f>G4*(1-Overview!$B$8)</f>
        <v/>
      </c>
      <c r="I4" s="24" t="inlineStr">
        <is>
          <t>NA</t>
        </is>
      </c>
      <c r="J4" s="23" t="inlineStr">
        <is>
          <t>Mirror Finish</t>
        </is>
      </c>
    </row>
    <row r="5">
      <c r="A5" s="14" t="inlineStr">
        <is>
          <t>Showers</t>
        </is>
      </c>
      <c r="B5" s="14" t="inlineStr">
        <is>
          <t>Ultra Slim Shower K Series</t>
        </is>
      </c>
      <c r="C5" s="14" t="inlineStr">
        <is>
          <t>Ultra Slim Shower (SS-202 Mirror Finish)</t>
        </is>
      </c>
      <c r="D5" s="27" t="inlineStr">
        <is>
          <t>BH-139-6</t>
        </is>
      </c>
      <c r="E5" s="27" t="inlineStr">
        <is>
          <t>150x150mm</t>
        </is>
      </c>
      <c r="F5" s="27" t="inlineStr">
        <is>
          <t>SS-202</t>
        </is>
      </c>
      <c r="G5" s="28" t="n">
        <v>630</v>
      </c>
      <c r="H5" s="26">
        <f>G5*(1-Overview!$B$8)</f>
        <v/>
      </c>
      <c r="I5" s="27" t="inlineStr">
        <is>
          <t>NA</t>
        </is>
      </c>
      <c r="J5" s="14" t="inlineStr">
        <is>
          <t>Mirror Finish</t>
        </is>
      </c>
    </row>
    <row r="6">
      <c r="A6" s="23" t="inlineStr">
        <is>
          <t>Showers</t>
        </is>
      </c>
      <c r="B6" s="23" t="inlineStr">
        <is>
          <t>Ultra Slim Shower K Series</t>
        </is>
      </c>
      <c r="C6" s="23" t="inlineStr">
        <is>
          <t>Ultra Slim Shower (SS-202 Mirror Finish)</t>
        </is>
      </c>
      <c r="D6" s="24" t="inlineStr">
        <is>
          <t>BH-139-8</t>
        </is>
      </c>
      <c r="E6" s="24" t="inlineStr">
        <is>
          <t>200x200mm</t>
        </is>
      </c>
      <c r="F6" s="24" t="inlineStr">
        <is>
          <t>SS-202</t>
        </is>
      </c>
      <c r="G6" s="25" t="n">
        <v>990</v>
      </c>
      <c r="H6" s="26">
        <f>G6*(1-Overview!$B$8)</f>
        <v/>
      </c>
      <c r="I6" s="24" t="inlineStr">
        <is>
          <t>NA</t>
        </is>
      </c>
      <c r="J6" s="23" t="inlineStr">
        <is>
          <t>Mirror Finish</t>
        </is>
      </c>
    </row>
    <row r="7">
      <c r="A7" s="14" t="inlineStr">
        <is>
          <t>Showers</t>
        </is>
      </c>
      <c r="B7" s="14" t="inlineStr">
        <is>
          <t>Ultra Slim Shower K Series</t>
        </is>
      </c>
      <c r="C7" s="14" t="inlineStr">
        <is>
          <t>Ultra Slim Shower (SS-202 Mirror Finish)</t>
        </is>
      </c>
      <c r="D7" s="27" t="inlineStr">
        <is>
          <t>BH-139-12</t>
        </is>
      </c>
      <c r="E7" s="27" t="inlineStr">
        <is>
          <t>300x300mm</t>
        </is>
      </c>
      <c r="F7" s="27" t="inlineStr">
        <is>
          <t>SS-202</t>
        </is>
      </c>
      <c r="G7" s="28" t="n">
        <v>2420</v>
      </c>
      <c r="H7" s="26">
        <f>G7*(1-Overview!$B$8)</f>
        <v/>
      </c>
      <c r="I7" s="27" t="inlineStr">
        <is>
          <t>NA</t>
        </is>
      </c>
      <c r="J7" s="14" t="inlineStr">
        <is>
          <t>Mirror Finish</t>
        </is>
      </c>
    </row>
    <row r="8">
      <c r="A8" s="23" t="inlineStr">
        <is>
          <t>Shower Arms</t>
        </is>
      </c>
      <c r="B8" s="23" t="inlineStr">
        <is>
          <t>Square Shower Arm</t>
        </is>
      </c>
      <c r="C8" s="23" t="inlineStr">
        <is>
          <t>Square Shower Arm</t>
        </is>
      </c>
      <c r="D8" s="24" t="inlineStr">
        <is>
          <t>BH-129-9</t>
        </is>
      </c>
      <c r="E8" s="24" t="inlineStr">
        <is>
          <t>225mm</t>
        </is>
      </c>
      <c r="F8" s="24" t="inlineStr">
        <is>
          <t>SS-202</t>
        </is>
      </c>
      <c r="G8" s="25" t="n">
        <v>280</v>
      </c>
      <c r="H8" s="26">
        <f>G8*(1-Overview!$B$8)</f>
        <v/>
      </c>
      <c r="I8" s="24" t="inlineStr">
        <is>
          <t>NA</t>
        </is>
      </c>
      <c r="J8" s="23" t="inlineStr">
        <is>
          <t>Mirror Finish</t>
        </is>
      </c>
    </row>
    <row r="9">
      <c r="A9" s="14" t="inlineStr">
        <is>
          <t>Shower Arms</t>
        </is>
      </c>
      <c r="B9" s="14" t="inlineStr">
        <is>
          <t>Square Shower Arm</t>
        </is>
      </c>
      <c r="C9" s="14" t="inlineStr">
        <is>
          <t>Square Shower Arm</t>
        </is>
      </c>
      <c r="D9" s="27" t="inlineStr">
        <is>
          <t>BH-129-12</t>
        </is>
      </c>
      <c r="E9" s="27" t="inlineStr">
        <is>
          <t>300mm</t>
        </is>
      </c>
      <c r="F9" s="27" t="inlineStr">
        <is>
          <t>SS-202</t>
        </is>
      </c>
      <c r="G9" s="28" t="n">
        <v>370</v>
      </c>
      <c r="H9" s="26">
        <f>G9*(1-Overview!$B$8)</f>
        <v/>
      </c>
      <c r="I9" s="27" t="inlineStr">
        <is>
          <t>NA</t>
        </is>
      </c>
      <c r="J9" s="14" t="inlineStr">
        <is>
          <t>Mirror Finish</t>
        </is>
      </c>
    </row>
    <row r="10">
      <c r="A10" s="23" t="inlineStr">
        <is>
          <t>Shower Arms</t>
        </is>
      </c>
      <c r="B10" s="23" t="inlineStr">
        <is>
          <t>Square Shower Arm</t>
        </is>
      </c>
      <c r="C10" s="23" t="inlineStr">
        <is>
          <t>Square Shower Arm</t>
        </is>
      </c>
      <c r="D10" s="24" t="inlineStr">
        <is>
          <t>BH-129-15</t>
        </is>
      </c>
      <c r="E10" s="24" t="inlineStr">
        <is>
          <t>375mm</t>
        </is>
      </c>
      <c r="F10" s="24" t="inlineStr">
        <is>
          <t>SS-202</t>
        </is>
      </c>
      <c r="G10" s="25" t="n">
        <v>460</v>
      </c>
      <c r="H10" s="26">
        <f>G10*(1-Overview!$B$8)</f>
        <v/>
      </c>
      <c r="I10" s="24" t="inlineStr">
        <is>
          <t>NA</t>
        </is>
      </c>
      <c r="J10" s="23" t="inlineStr">
        <is>
          <t>Mirror Finish</t>
        </is>
      </c>
    </row>
    <row r="11">
      <c r="A11" s="14" t="inlineStr">
        <is>
          <t>Shower Arms</t>
        </is>
      </c>
      <c r="B11" s="14" t="inlineStr">
        <is>
          <t>Square Shower Arm</t>
        </is>
      </c>
      <c r="C11" s="14" t="inlineStr">
        <is>
          <t>Square Shower Arm</t>
        </is>
      </c>
      <c r="D11" s="27" t="inlineStr">
        <is>
          <t>BH-129-18</t>
        </is>
      </c>
      <c r="E11" s="27" t="inlineStr">
        <is>
          <t>450mm</t>
        </is>
      </c>
      <c r="F11" s="27" t="inlineStr">
        <is>
          <t>SS-202</t>
        </is>
      </c>
      <c r="G11" s="28" t="n">
        <v>550</v>
      </c>
      <c r="H11" s="26">
        <f>G11*(1-Overview!$B$8)</f>
        <v/>
      </c>
      <c r="I11" s="27" t="inlineStr">
        <is>
          <t>NA</t>
        </is>
      </c>
      <c r="J11" s="14" t="inlineStr">
        <is>
          <t>Mirror Finish</t>
        </is>
      </c>
    </row>
    <row r="12">
      <c r="A12" s="23" t="inlineStr">
        <is>
          <t>Shower Arms</t>
        </is>
      </c>
      <c r="B12" s="23" t="inlineStr">
        <is>
          <t>Square Shower Arm</t>
        </is>
      </c>
      <c r="C12" s="23" t="inlineStr">
        <is>
          <t>Square Shower Arm</t>
        </is>
      </c>
      <c r="D12" s="24" t="inlineStr">
        <is>
          <t>BH-129-24</t>
        </is>
      </c>
      <c r="E12" s="24" t="inlineStr">
        <is>
          <t>600mm</t>
        </is>
      </c>
      <c r="F12" s="24" t="inlineStr">
        <is>
          <t>SS-202</t>
        </is>
      </c>
      <c r="G12" s="25" t="n">
        <v>740</v>
      </c>
      <c r="H12" s="26">
        <f>G12*(1-Overview!$B$8)</f>
        <v/>
      </c>
      <c r="I12" s="24" t="inlineStr">
        <is>
          <t>NA</t>
        </is>
      </c>
      <c r="J12" s="23" t="inlineStr">
        <is>
          <t>Mirror Finish</t>
        </is>
      </c>
    </row>
    <row r="13">
      <c r="A13" s="14" t="inlineStr">
        <is>
          <t>Shower Arms</t>
        </is>
      </c>
      <c r="B13" s="14" t="inlineStr">
        <is>
          <t>Oval Shower Arm</t>
        </is>
      </c>
      <c r="C13" s="14" t="inlineStr">
        <is>
          <t>Oval Shower Arm</t>
        </is>
      </c>
      <c r="D13" s="27" t="inlineStr">
        <is>
          <t>BH-131-9</t>
        </is>
      </c>
      <c r="E13" s="27" t="inlineStr">
        <is>
          <t>225mm</t>
        </is>
      </c>
      <c r="F13" s="27" t="inlineStr">
        <is>
          <t>SS-202</t>
        </is>
      </c>
      <c r="G13" s="28" t="n">
        <v>270</v>
      </c>
      <c r="H13" s="26">
        <f>G13*(1-Overview!$B$8)</f>
        <v/>
      </c>
      <c r="I13" s="27" t="inlineStr">
        <is>
          <t>NA</t>
        </is>
      </c>
      <c r="J13" s="14" t="inlineStr">
        <is>
          <t>Mirror Finish</t>
        </is>
      </c>
    </row>
    <row r="14">
      <c r="A14" s="23" t="inlineStr">
        <is>
          <t>Shower Arms</t>
        </is>
      </c>
      <c r="B14" s="23" t="inlineStr">
        <is>
          <t>Oval Shower Arm</t>
        </is>
      </c>
      <c r="C14" s="23" t="inlineStr">
        <is>
          <t>Oval Shower Arm</t>
        </is>
      </c>
      <c r="D14" s="24" t="inlineStr">
        <is>
          <t>BH-131-12</t>
        </is>
      </c>
      <c r="E14" s="24" t="inlineStr">
        <is>
          <t>300mm</t>
        </is>
      </c>
      <c r="F14" s="24" t="inlineStr">
        <is>
          <t>SS-202</t>
        </is>
      </c>
      <c r="G14" s="25" t="n">
        <v>360</v>
      </c>
      <c r="H14" s="26">
        <f>G14*(1-Overview!$B$8)</f>
        <v/>
      </c>
      <c r="I14" s="24" t="inlineStr">
        <is>
          <t>NA</t>
        </is>
      </c>
      <c r="J14" s="23" t="inlineStr">
        <is>
          <t>Mirror Finish</t>
        </is>
      </c>
    </row>
    <row r="15">
      <c r="A15" s="14" t="inlineStr">
        <is>
          <t>Shower Arms</t>
        </is>
      </c>
      <c r="B15" s="14" t="inlineStr">
        <is>
          <t>Oval Shower Arm</t>
        </is>
      </c>
      <c r="C15" s="14" t="inlineStr">
        <is>
          <t>Oval Shower Arm</t>
        </is>
      </c>
      <c r="D15" s="27" t="inlineStr">
        <is>
          <t>BH-131-15</t>
        </is>
      </c>
      <c r="E15" s="27" t="inlineStr">
        <is>
          <t>375mm</t>
        </is>
      </c>
      <c r="F15" s="27" t="inlineStr">
        <is>
          <t>SS-202</t>
        </is>
      </c>
      <c r="G15" s="28" t="n">
        <v>450</v>
      </c>
      <c r="H15" s="26">
        <f>G15*(1-Overview!$B$8)</f>
        <v/>
      </c>
      <c r="I15" s="27" t="inlineStr">
        <is>
          <t>NA</t>
        </is>
      </c>
      <c r="J15" s="14" t="inlineStr">
        <is>
          <t>Mirror Finish</t>
        </is>
      </c>
    </row>
    <row r="16">
      <c r="A16" s="23" t="inlineStr">
        <is>
          <t>Shower Arms</t>
        </is>
      </c>
      <c r="B16" s="23" t="inlineStr">
        <is>
          <t>Oval Shower Arm</t>
        </is>
      </c>
      <c r="C16" s="23" t="inlineStr">
        <is>
          <t>Oval Shower Arm</t>
        </is>
      </c>
      <c r="D16" s="24" t="inlineStr">
        <is>
          <t>BH-131-18</t>
        </is>
      </c>
      <c r="E16" s="24" t="inlineStr">
        <is>
          <t>450mm</t>
        </is>
      </c>
      <c r="F16" s="24" t="inlineStr">
        <is>
          <t>SS-202</t>
        </is>
      </c>
      <c r="G16" s="25" t="n">
        <v>540</v>
      </c>
      <c r="H16" s="26">
        <f>G16*(1-Overview!$B$8)</f>
        <v/>
      </c>
      <c r="I16" s="24" t="inlineStr">
        <is>
          <t>NA</t>
        </is>
      </c>
      <c r="J16" s="23" t="inlineStr">
        <is>
          <t>Mirror Finish</t>
        </is>
      </c>
    </row>
    <row r="17">
      <c r="A17" s="14" t="inlineStr">
        <is>
          <t>Shower Arms</t>
        </is>
      </c>
      <c r="B17" s="14" t="inlineStr">
        <is>
          <t>Round Shower Arm Heavy</t>
        </is>
      </c>
      <c r="C17" s="14" t="inlineStr">
        <is>
          <t>Round Shower Arm Heavy</t>
        </is>
      </c>
      <c r="D17" s="27" t="inlineStr">
        <is>
          <t>BH-136-12</t>
        </is>
      </c>
      <c r="E17" s="27" t="inlineStr">
        <is>
          <t>300mm</t>
        </is>
      </c>
      <c r="F17" s="27" t="inlineStr">
        <is>
          <t>SS-202</t>
        </is>
      </c>
      <c r="G17" s="28" t="n">
        <v>410</v>
      </c>
      <c r="H17" s="26">
        <f>G17*(1-Overview!$B$8)</f>
        <v/>
      </c>
      <c r="I17" s="27" t="inlineStr">
        <is>
          <t>NA</t>
        </is>
      </c>
      <c r="J17" s="14" t="inlineStr">
        <is>
          <t>Mirror Finish</t>
        </is>
      </c>
    </row>
    <row r="18">
      <c r="A18" s="23" t="inlineStr">
        <is>
          <t>Shower Arms</t>
        </is>
      </c>
      <c r="B18" s="23" t="inlineStr">
        <is>
          <t>Round Shower Arm Heavy</t>
        </is>
      </c>
      <c r="C18" s="23" t="inlineStr">
        <is>
          <t>Round Shower Arm Heavy</t>
        </is>
      </c>
      <c r="D18" s="24" t="inlineStr">
        <is>
          <t>BH-136-15</t>
        </is>
      </c>
      <c r="E18" s="24" t="inlineStr">
        <is>
          <t>375mm</t>
        </is>
      </c>
      <c r="F18" s="24" t="inlineStr">
        <is>
          <t>SS-202</t>
        </is>
      </c>
      <c r="G18" s="25" t="n">
        <v>510</v>
      </c>
      <c r="H18" s="26">
        <f>G18*(1-Overview!$B$8)</f>
        <v/>
      </c>
      <c r="I18" s="24" t="inlineStr">
        <is>
          <t>NA</t>
        </is>
      </c>
      <c r="J18" s="23" t="inlineStr">
        <is>
          <t>Mirror Finish</t>
        </is>
      </c>
    </row>
    <row r="19">
      <c r="A19" s="14" t="inlineStr">
        <is>
          <t>Shower Arms</t>
        </is>
      </c>
      <c r="B19" s="14" t="inlineStr">
        <is>
          <t>Round Shower Arm Heavy</t>
        </is>
      </c>
      <c r="C19" s="14" t="inlineStr">
        <is>
          <t>Round Shower Arm Heavy</t>
        </is>
      </c>
      <c r="D19" s="27" t="inlineStr">
        <is>
          <t>BH-136-18</t>
        </is>
      </c>
      <c r="E19" s="27" t="inlineStr">
        <is>
          <t>450mm</t>
        </is>
      </c>
      <c r="F19" s="27" t="inlineStr">
        <is>
          <t>SS-202</t>
        </is>
      </c>
      <c r="G19" s="28" t="n">
        <v>690</v>
      </c>
      <c r="H19" s="26">
        <f>G19*(1-Overview!$B$8)</f>
        <v/>
      </c>
      <c r="I19" s="27" t="inlineStr">
        <is>
          <t>NA</t>
        </is>
      </c>
      <c r="J19" s="14" t="inlineStr">
        <is>
          <t>Mirror Finish</t>
        </is>
      </c>
    </row>
    <row r="20">
      <c r="A20" s="23" t="inlineStr">
        <is>
          <t>Shower Arms</t>
        </is>
      </c>
      <c r="B20" s="23" t="inlineStr">
        <is>
          <t>Round Shower Arm Heavy</t>
        </is>
      </c>
      <c r="C20" s="23" t="inlineStr">
        <is>
          <t>Round Shower Arm Heavy</t>
        </is>
      </c>
      <c r="D20" s="24" t="inlineStr">
        <is>
          <t>BH-136-24</t>
        </is>
      </c>
      <c r="E20" s="24" t="inlineStr">
        <is>
          <t>600mm</t>
        </is>
      </c>
      <c r="F20" s="24" t="inlineStr">
        <is>
          <t>SS-202</t>
        </is>
      </c>
      <c r="G20" s="25" t="n">
        <v>920</v>
      </c>
      <c r="H20" s="26">
        <f>G20*(1-Overview!$B$8)</f>
        <v/>
      </c>
      <c r="I20" s="24" t="inlineStr">
        <is>
          <t>NA</t>
        </is>
      </c>
      <c r="J20" s="23" t="inlineStr">
        <is>
          <t>Mirror Finish</t>
        </is>
      </c>
    </row>
    <row r="21">
      <c r="A21" s="14" t="inlineStr">
        <is>
          <t>Floor Drains</t>
        </is>
      </c>
      <c r="B21" s="14" t="inlineStr">
        <is>
          <t>Floor Trap Drain</t>
        </is>
      </c>
      <c r="C21" s="14" t="inlineStr">
        <is>
          <t>Floor Trap Drain (With Tiles Insert)</t>
        </is>
      </c>
      <c r="D21" s="27" t="inlineStr">
        <is>
          <t>BH-2101</t>
        </is>
      </c>
      <c r="E21" s="27" t="inlineStr">
        <is>
          <t>150x150mm</t>
        </is>
      </c>
      <c r="F21" s="27" t="inlineStr">
        <is>
          <t>SS-304</t>
        </is>
      </c>
      <c r="G21" s="28" t="n">
        <v>1370</v>
      </c>
      <c r="H21" s="26">
        <f>G21*(1-Overview!$B$8)</f>
        <v/>
      </c>
      <c r="I21" s="27" t="inlineStr">
        <is>
          <t>50 PCS</t>
        </is>
      </c>
      <c r="J21" s="14" t="inlineStr">
        <is>
          <t>Plate: 1.5mm, Base: 1mm</t>
        </is>
      </c>
    </row>
    <row r="22">
      <c r="A22" s="23" t="inlineStr">
        <is>
          <t>Floor Drains</t>
        </is>
      </c>
      <c r="B22" s="23" t="inlineStr">
        <is>
          <t>Floor Trap Drain</t>
        </is>
      </c>
      <c r="C22" s="23" t="inlineStr">
        <is>
          <t>Floor Trap Drain (With Tiles Insert)</t>
        </is>
      </c>
      <c r="D22" s="24" t="inlineStr">
        <is>
          <t>BH-2101-5</t>
        </is>
      </c>
      <c r="E22" s="24" t="inlineStr">
        <is>
          <t>125x125mm</t>
        </is>
      </c>
      <c r="F22" s="24" t="inlineStr">
        <is>
          <t>SS-304</t>
        </is>
      </c>
      <c r="G22" s="25" t="n">
        <v>900</v>
      </c>
      <c r="H22" s="26">
        <f>G22*(1-Overview!$B$8)</f>
        <v/>
      </c>
      <c r="I22" s="24" t="inlineStr">
        <is>
          <t>50 PCS</t>
        </is>
      </c>
      <c r="J22" s="23" t="inlineStr">
        <is>
          <t>Plate: 1.5mm, Base: 1mm</t>
        </is>
      </c>
    </row>
    <row r="23">
      <c r="A23" s="14" t="inlineStr">
        <is>
          <t>Floor Drains</t>
        </is>
      </c>
      <c r="B23" s="14" t="inlineStr">
        <is>
          <t>Floor Trap Drain</t>
        </is>
      </c>
      <c r="C23" s="14" t="inlineStr">
        <is>
          <t>Floor Trap Drain (Line Design Satin Silver)</t>
        </is>
      </c>
      <c r="D23" s="27" t="inlineStr">
        <is>
          <t>BH-1001</t>
        </is>
      </c>
      <c r="E23" s="27" t="inlineStr">
        <is>
          <t>125x125mm</t>
        </is>
      </c>
      <c r="F23" s="27" t="inlineStr">
        <is>
          <t>SS-304</t>
        </is>
      </c>
      <c r="G23" s="28" t="n">
        <v>420</v>
      </c>
      <c r="H23" s="26">
        <f>G23*(1-Overview!$B$8)</f>
        <v/>
      </c>
      <c r="I23" s="27" t="inlineStr">
        <is>
          <t>50 PCS</t>
        </is>
      </c>
      <c r="J23" s="14" t="inlineStr">
        <is>
          <t>Plate: 1.5mm, Frame: 1mm</t>
        </is>
      </c>
    </row>
    <row r="24">
      <c r="A24" s="23" t="inlineStr">
        <is>
          <t>Floor Drains</t>
        </is>
      </c>
      <c r="B24" s="23" t="inlineStr">
        <is>
          <t>Floor Trap Drain</t>
        </is>
      </c>
      <c r="C24" s="23" t="inlineStr">
        <is>
          <t>Floor Trap Drain (Line Design Black Finish)</t>
        </is>
      </c>
      <c r="D24" s="24" t="inlineStr">
        <is>
          <t>BH-1001BLK</t>
        </is>
      </c>
      <c r="E24" s="24" t="inlineStr">
        <is>
          <t>125x125mm</t>
        </is>
      </c>
      <c r="F24" s="24" t="inlineStr">
        <is>
          <t>SS-304</t>
        </is>
      </c>
      <c r="G24" s="25" t="n">
        <v>1310</v>
      </c>
      <c r="H24" s="26">
        <f>G24*(1-Overview!$B$8)</f>
        <v/>
      </c>
      <c r="I24" s="24" t="inlineStr">
        <is>
          <t>50 PCS</t>
        </is>
      </c>
      <c r="J24" s="23" t="inlineStr">
        <is>
          <t>Plate: 1.5mm, Frame: 1mm</t>
        </is>
      </c>
    </row>
    <row r="25">
      <c r="A25" s="14" t="inlineStr">
        <is>
          <t>Floor Drains</t>
        </is>
      </c>
      <c r="B25" s="14" t="inlineStr">
        <is>
          <t>Floor Trap Drain</t>
        </is>
      </c>
      <c r="C25" s="14" t="inlineStr">
        <is>
          <t>Floor Trap Drain (Line Design Gold Finish)</t>
        </is>
      </c>
      <c r="D25" s="27" t="inlineStr">
        <is>
          <t>BH-1001GD</t>
        </is>
      </c>
      <c r="E25" s="27" t="inlineStr">
        <is>
          <t>125x125mm</t>
        </is>
      </c>
      <c r="F25" s="27" t="inlineStr">
        <is>
          <t>SS-304</t>
        </is>
      </c>
      <c r="G25" s="28" t="n">
        <v>1060</v>
      </c>
      <c r="H25" s="26">
        <f>G25*(1-Overview!$B$8)</f>
        <v/>
      </c>
      <c r="I25" s="27" t="inlineStr">
        <is>
          <t>50 PCS</t>
        </is>
      </c>
      <c r="J25" s="14" t="inlineStr">
        <is>
          <t>Plate: 1.5mm, Frame: 1mm</t>
        </is>
      </c>
    </row>
    <row r="26">
      <c r="A26" s="23" t="inlineStr">
        <is>
          <t>Floor Drains</t>
        </is>
      </c>
      <c r="B26" s="23" t="inlineStr">
        <is>
          <t>Floor Trap Drain</t>
        </is>
      </c>
      <c r="C26" s="23" t="inlineStr">
        <is>
          <t>Floor Trap Drain (Line Design Rose Gold)</t>
        </is>
      </c>
      <c r="D26" s="24" t="inlineStr">
        <is>
          <t>BH-1001RGD</t>
        </is>
      </c>
      <c r="E26" s="24" t="inlineStr">
        <is>
          <t>125x125mm</t>
        </is>
      </c>
      <c r="F26" s="24" t="inlineStr">
        <is>
          <t>SS-304</t>
        </is>
      </c>
      <c r="G26" s="25" t="n">
        <v>1060</v>
      </c>
      <c r="H26" s="26">
        <f>G26*(1-Overview!$B$8)</f>
        <v/>
      </c>
      <c r="I26" s="24" t="inlineStr">
        <is>
          <t>50 PCS</t>
        </is>
      </c>
      <c r="J26" s="23" t="inlineStr">
        <is>
          <t>Plate: 1.5mm, Frame: 1mm</t>
        </is>
      </c>
    </row>
    <row r="27">
      <c r="A27" s="14" t="inlineStr">
        <is>
          <t>Floor Drains</t>
        </is>
      </c>
      <c r="B27" s="14" t="inlineStr">
        <is>
          <t>Floor Trap Drain</t>
        </is>
      </c>
      <c r="C27" s="14" t="inlineStr">
        <is>
          <t>Floor Trap Drain (Square Design Satin Silver)</t>
        </is>
      </c>
      <c r="D27" s="27" t="inlineStr">
        <is>
          <t>BH-1006</t>
        </is>
      </c>
      <c r="E27" s="27" t="inlineStr">
        <is>
          <t>125x125mm</t>
        </is>
      </c>
      <c r="F27" s="27" t="inlineStr">
        <is>
          <t>SS-304</t>
        </is>
      </c>
      <c r="G27" s="28" t="n">
        <v>420</v>
      </c>
      <c r="H27" s="26">
        <f>G27*(1-Overview!$B$8)</f>
        <v/>
      </c>
      <c r="I27" s="27" t="inlineStr">
        <is>
          <t>50 PCS</t>
        </is>
      </c>
      <c r="J27" s="14" t="inlineStr">
        <is>
          <t>Plate: 1.5mm, Frame: 1mm</t>
        </is>
      </c>
    </row>
    <row r="28">
      <c r="A28" s="23" t="inlineStr">
        <is>
          <t>Floor Drains</t>
        </is>
      </c>
      <c r="B28" s="23" t="inlineStr">
        <is>
          <t>Pop-Up Floor Drain</t>
        </is>
      </c>
      <c r="C28" s="23" t="inlineStr">
        <is>
          <t>Pop-Up Floor Drain (Satin Silver)</t>
        </is>
      </c>
      <c r="D28" s="24" t="inlineStr">
        <is>
          <t>BH-2103</t>
        </is>
      </c>
      <c r="E28" s="24" t="inlineStr">
        <is>
          <t>125x125mm</t>
        </is>
      </c>
      <c r="F28" s="24" t="inlineStr">
        <is>
          <t>SS-304</t>
        </is>
      </c>
      <c r="G28" s="25" t="n">
        <v>900</v>
      </c>
      <c r="H28" s="26">
        <f>G28*(1-Overview!$B$8)</f>
        <v/>
      </c>
      <c r="I28" s="24" t="inlineStr">
        <is>
          <t>50 PCS</t>
        </is>
      </c>
      <c r="J28" s="23" t="inlineStr">
        <is>
          <t>Pop-Up Mechanism</t>
        </is>
      </c>
    </row>
    <row r="29">
      <c r="A29" s="14" t="inlineStr">
        <is>
          <t>Floor Drains</t>
        </is>
      </c>
      <c r="B29" s="14" t="inlineStr">
        <is>
          <t>Floor Trap Drain</t>
        </is>
      </c>
      <c r="C29" s="14" t="inlineStr">
        <is>
          <t>Floor Trap Drain (Gem Satin Silver)</t>
        </is>
      </c>
      <c r="D29" s="27" t="inlineStr">
        <is>
          <t>BH-1013-5</t>
        </is>
      </c>
      <c r="E29" s="27" t="inlineStr">
        <is>
          <t>125x125mm</t>
        </is>
      </c>
      <c r="F29" s="27" t="inlineStr">
        <is>
          <t>SS-304</t>
        </is>
      </c>
      <c r="G29" s="28" t="n">
        <v>420</v>
      </c>
      <c r="H29" s="26">
        <f>G29*(1-Overview!$B$8)</f>
        <v/>
      </c>
      <c r="I29" s="27" t="inlineStr">
        <is>
          <t>50 PCS</t>
        </is>
      </c>
      <c r="J29" s="14" t="inlineStr">
        <is>
          <t>Plate: 1.5mm, Frame: 1mm</t>
        </is>
      </c>
    </row>
    <row r="30">
      <c r="A30" s="23" t="inlineStr">
        <is>
          <t>Floor Drains</t>
        </is>
      </c>
      <c r="B30" s="23" t="inlineStr">
        <is>
          <t>Clean Out</t>
        </is>
      </c>
      <c r="C30" s="23" t="inlineStr">
        <is>
          <t>Clean-Out Locking Cover</t>
        </is>
      </c>
      <c r="D30" s="24" t="inlineStr">
        <is>
          <t>BH-2108</t>
        </is>
      </c>
      <c r="E30" s="24" t="inlineStr">
        <is>
          <t>125x125mm</t>
        </is>
      </c>
      <c r="F30" s="24" t="inlineStr">
        <is>
          <t>SS-304</t>
        </is>
      </c>
      <c r="G30" s="25" t="n">
        <v>660</v>
      </c>
      <c r="H30" s="26">
        <f>G30*(1-Overview!$B$8)</f>
        <v/>
      </c>
      <c r="I30" s="24" t="inlineStr">
        <is>
          <t>NA</t>
        </is>
      </c>
      <c r="J30" s="23" t="inlineStr">
        <is>
          <t>Locking mechanism</t>
        </is>
      </c>
    </row>
    <row r="31">
      <c r="A31" s="14" t="inlineStr">
        <is>
          <t>Floor Drains</t>
        </is>
      </c>
      <c r="B31" s="14" t="inlineStr">
        <is>
          <t>Corner Drain</t>
        </is>
      </c>
      <c r="C31" s="14" t="inlineStr">
        <is>
          <t>Corner Drain L Type</t>
        </is>
      </c>
      <c r="D31" s="27" t="inlineStr">
        <is>
          <t>BH-2107</t>
        </is>
      </c>
      <c r="E31" s="27" t="inlineStr">
        <is>
          <t>150x150mm</t>
        </is>
      </c>
      <c r="F31" s="27" t="inlineStr">
        <is>
          <t>SS-304</t>
        </is>
      </c>
      <c r="G31" s="28" t="n">
        <v>1800</v>
      </c>
      <c r="H31" s="26">
        <f>G31*(1-Overview!$B$8)</f>
        <v/>
      </c>
      <c r="I31" s="27" t="inlineStr">
        <is>
          <t>NA</t>
        </is>
      </c>
      <c r="J31" s="14" t="inlineStr">
        <is>
          <t>L-Type space saving</t>
        </is>
      </c>
    </row>
    <row r="32">
      <c r="A32" s="23" t="inlineStr">
        <is>
          <t>Floor Drains</t>
        </is>
      </c>
      <c r="B32" s="23" t="inlineStr">
        <is>
          <t>Floor Drain Locking</t>
        </is>
      </c>
      <c r="C32" s="23" t="inlineStr">
        <is>
          <t>Floor Drain Locking Type Round Hole</t>
        </is>
      </c>
      <c r="D32" s="24" t="inlineStr">
        <is>
          <t>BH-1101</t>
        </is>
      </c>
      <c r="E32" s="24" t="inlineStr">
        <is>
          <t>125x125mm</t>
        </is>
      </c>
      <c r="F32" s="24" t="inlineStr">
        <is>
          <t>SS-304</t>
        </is>
      </c>
      <c r="G32" s="25" t="n">
        <v>380</v>
      </c>
      <c r="H32" s="26">
        <f>G32*(1-Overview!$B$8)</f>
        <v/>
      </c>
      <c r="I32" s="24" t="inlineStr">
        <is>
          <t>NA</t>
        </is>
      </c>
      <c r="J32" s="23" t="inlineStr">
        <is>
          <t>Round hole secure design</t>
        </is>
      </c>
    </row>
    <row r="33">
      <c r="A33" s="14" t="inlineStr">
        <is>
          <t>Floor Drains</t>
        </is>
      </c>
      <c r="B33" s="14" t="inlineStr">
        <is>
          <t>Traps</t>
        </is>
      </c>
      <c r="C33" s="14" t="inlineStr">
        <is>
          <t>Anti-Cockroach Trap Bowl Type</t>
        </is>
      </c>
      <c r="D33" s="27" t="inlineStr">
        <is>
          <t>BH-1115-07</t>
        </is>
      </c>
      <c r="E33" s="27" t="inlineStr">
        <is>
          <t>For 125mm Drain</t>
        </is>
      </c>
      <c r="F33" s="27" t="inlineStr">
        <is>
          <t>SS-304</t>
        </is>
      </c>
      <c r="G33" s="28" t="n">
        <v>450</v>
      </c>
      <c r="H33" s="26">
        <f>G33*(1-Overview!$B$8)</f>
        <v/>
      </c>
      <c r="I33" s="27" t="inlineStr">
        <is>
          <t>NA</t>
        </is>
      </c>
      <c r="J33" s="14" t="inlineStr">
        <is>
          <t>Premium bowl type cockroach blocker</t>
        </is>
      </c>
    </row>
    <row r="34">
      <c r="A34" s="23" t="inlineStr">
        <is>
          <t>Floor Drains</t>
        </is>
      </c>
      <c r="B34" s="23" t="inlineStr">
        <is>
          <t>Traps</t>
        </is>
      </c>
      <c r="C34" s="23" t="inlineStr">
        <is>
          <t>Cockroach Trap For Floor Trap</t>
        </is>
      </c>
      <c r="D34" s="24" t="inlineStr">
        <is>
          <t>BH-1115</t>
        </is>
      </c>
      <c r="E34" s="24" t="inlineStr">
        <is>
          <t>NA</t>
        </is>
      </c>
      <c r="F34" s="24" t="inlineStr">
        <is>
          <t>SS-304</t>
        </is>
      </c>
      <c r="G34" s="25" t="n">
        <v>470</v>
      </c>
      <c r="H34" s="26">
        <f>G34*(1-Overview!$B$8)</f>
        <v/>
      </c>
      <c r="I34" s="24" t="inlineStr">
        <is>
          <t>50 PCS</t>
        </is>
      </c>
      <c r="J34" s="23" t="inlineStr">
        <is>
          <t>Satin Silver cockroach trap</t>
        </is>
      </c>
    </row>
    <row r="35">
      <c r="A35" s="14" t="inlineStr">
        <is>
          <t>Floor Drains</t>
        </is>
      </c>
      <c r="B35" s="14" t="inlineStr">
        <is>
          <t>One Pic Fix Jali</t>
        </is>
      </c>
      <c r="C35" s="14" t="inlineStr">
        <is>
          <t>One Pic Fix Jali (Mirror Finish)</t>
        </is>
      </c>
      <c r="D35" s="27" t="inlineStr">
        <is>
          <t>BH-1007</t>
        </is>
      </c>
      <c r="E35" s="27" t="inlineStr">
        <is>
          <t>150x150mm</t>
        </is>
      </c>
      <c r="F35" s="27" t="inlineStr">
        <is>
          <t>SS-202</t>
        </is>
      </c>
      <c r="G35" s="28" t="n">
        <v>150</v>
      </c>
      <c r="H35" s="26">
        <f>G35*(1-Overview!$B$8)</f>
        <v/>
      </c>
      <c r="I35" s="27" t="inlineStr">
        <is>
          <t>50 PCS</t>
        </is>
      </c>
      <c r="J35" s="14" t="inlineStr">
        <is>
          <t>For 110mm dia drain size</t>
        </is>
      </c>
    </row>
    <row r="36">
      <c r="A36" s="23" t="inlineStr">
        <is>
          <t>Gratings</t>
        </is>
      </c>
      <c r="B36" s="23" t="inlineStr">
        <is>
          <t>SS Square Line Grating Heavy</t>
        </is>
      </c>
      <c r="C36" s="23" t="inlineStr">
        <is>
          <t>SS Square Line Grating Heavy (Plain)</t>
        </is>
      </c>
      <c r="D36" s="24" t="inlineStr">
        <is>
          <t>BH-2105A</t>
        </is>
      </c>
      <c r="E36" s="24" t="inlineStr">
        <is>
          <t>75x75mm</t>
        </is>
      </c>
      <c r="F36" s="24" t="inlineStr">
        <is>
          <t>SS-304</t>
        </is>
      </c>
      <c r="G36" s="25" t="n">
        <v>170</v>
      </c>
      <c r="H36" s="26">
        <f>G36*(1-Overview!$B$8)</f>
        <v/>
      </c>
      <c r="I36" s="24" t="inlineStr">
        <is>
          <t>12 PCS</t>
        </is>
      </c>
      <c r="J36" s="23" t="inlineStr">
        <is>
          <t>2mm Thick, Plain</t>
        </is>
      </c>
    </row>
    <row r="37">
      <c r="A37" s="14" t="inlineStr">
        <is>
          <t>Gratings</t>
        </is>
      </c>
      <c r="B37" s="14" t="inlineStr">
        <is>
          <t>SS Square Line Grating Heavy</t>
        </is>
      </c>
      <c r="C37" s="14" t="inlineStr">
        <is>
          <t>SS Square Line Grating Heavy (Plain)</t>
        </is>
      </c>
      <c r="D37" s="27" t="inlineStr">
        <is>
          <t>BH-2105B</t>
        </is>
      </c>
      <c r="E37" s="27" t="inlineStr">
        <is>
          <t>100x100mm</t>
        </is>
      </c>
      <c r="F37" s="27" t="inlineStr">
        <is>
          <t>SS-304</t>
        </is>
      </c>
      <c r="G37" s="28" t="n">
        <v>240</v>
      </c>
      <c r="H37" s="26">
        <f>G37*(1-Overview!$B$8)</f>
        <v/>
      </c>
      <c r="I37" s="27" t="inlineStr">
        <is>
          <t>12 PCS</t>
        </is>
      </c>
      <c r="J37" s="14" t="inlineStr">
        <is>
          <t>2mm Thick, Plain</t>
        </is>
      </c>
    </row>
    <row r="38">
      <c r="A38" s="23" t="inlineStr">
        <is>
          <t>Gratings</t>
        </is>
      </c>
      <c r="B38" s="23" t="inlineStr">
        <is>
          <t>SS Square Line Grating Heavy</t>
        </is>
      </c>
      <c r="C38" s="23" t="inlineStr">
        <is>
          <t>SS Square Line Grating Heavy (Plain)</t>
        </is>
      </c>
      <c r="D38" s="24" t="inlineStr">
        <is>
          <t>BH-2105C</t>
        </is>
      </c>
      <c r="E38" s="24" t="inlineStr">
        <is>
          <t>125x125mm</t>
        </is>
      </c>
      <c r="F38" s="24" t="inlineStr">
        <is>
          <t>SS-304</t>
        </is>
      </c>
      <c r="G38" s="25" t="n">
        <v>310</v>
      </c>
      <c r="H38" s="26">
        <f>G38*(1-Overview!$B$8)</f>
        <v/>
      </c>
      <c r="I38" s="24" t="inlineStr">
        <is>
          <t>6 PCS</t>
        </is>
      </c>
      <c r="J38" s="23" t="inlineStr">
        <is>
          <t>2mm Thick, Plain</t>
        </is>
      </c>
    </row>
    <row r="39">
      <c r="A39" s="14" t="inlineStr">
        <is>
          <t>Gratings</t>
        </is>
      </c>
      <c r="B39" s="14" t="inlineStr">
        <is>
          <t>SS Square Line Grating Heavy</t>
        </is>
      </c>
      <c r="C39" s="14" t="inlineStr">
        <is>
          <t>SS Square Line Grating Heavy (Plain)</t>
        </is>
      </c>
      <c r="D39" s="27" t="inlineStr">
        <is>
          <t>BH-2105D</t>
        </is>
      </c>
      <c r="E39" s="27" t="inlineStr">
        <is>
          <t>150x150mm</t>
        </is>
      </c>
      <c r="F39" s="27" t="inlineStr">
        <is>
          <t>SS-304</t>
        </is>
      </c>
      <c r="G39" s="28" t="n">
        <v>380</v>
      </c>
      <c r="H39" s="26">
        <f>G39*(1-Overview!$B$8)</f>
        <v/>
      </c>
      <c r="I39" s="27" t="inlineStr">
        <is>
          <t>2 PCS</t>
        </is>
      </c>
      <c r="J39" s="14" t="inlineStr">
        <is>
          <t>2mm Thick, Plain</t>
        </is>
      </c>
    </row>
    <row r="40">
      <c r="A40" s="23" t="inlineStr">
        <is>
          <t>Gratings</t>
        </is>
      </c>
      <c r="B40" s="23" t="inlineStr">
        <is>
          <t>SS Square Line Grating Heavy</t>
        </is>
      </c>
      <c r="C40" s="23" t="inlineStr">
        <is>
          <t>SS Square Line Grating Heavy (Plain)</t>
        </is>
      </c>
      <c r="D40" s="24" t="inlineStr">
        <is>
          <t>BH-2105E</t>
        </is>
      </c>
      <c r="E40" s="24" t="inlineStr">
        <is>
          <t>200x200mm</t>
        </is>
      </c>
      <c r="F40" s="24" t="inlineStr">
        <is>
          <t>SS-304</t>
        </is>
      </c>
      <c r="G40" s="25" t="n">
        <v>800</v>
      </c>
      <c r="H40" s="26">
        <f>G40*(1-Overview!$B$8)</f>
        <v/>
      </c>
      <c r="I40" s="24" t="inlineStr">
        <is>
          <t>1 PC</t>
        </is>
      </c>
      <c r="J40" s="23" t="inlineStr">
        <is>
          <t>2mm Thick, Plain</t>
        </is>
      </c>
    </row>
    <row r="41">
      <c r="A41" s="14" t="inlineStr">
        <is>
          <t>Gratings</t>
        </is>
      </c>
      <c r="B41" s="14" t="inlineStr">
        <is>
          <t>SS Square Line Grating Heavy</t>
        </is>
      </c>
      <c r="C41" s="14" t="inlineStr">
        <is>
          <t>SS Square Line Grating Heavy (With Hole)</t>
        </is>
      </c>
      <c r="D41" s="27" t="inlineStr">
        <is>
          <t>BH-2105A-WH</t>
        </is>
      </c>
      <c r="E41" s="27" t="inlineStr">
        <is>
          <t>75x75mm</t>
        </is>
      </c>
      <c r="F41" s="27" t="inlineStr">
        <is>
          <t>SS-304</t>
        </is>
      </c>
      <c r="G41" s="28" t="n">
        <v>170</v>
      </c>
      <c r="H41" s="26">
        <f>G41*(1-Overview!$B$8)</f>
        <v/>
      </c>
      <c r="I41" s="27" t="inlineStr">
        <is>
          <t>12 PCS</t>
        </is>
      </c>
      <c r="J41" s="14" t="inlineStr">
        <is>
          <t>2mm Thick, with central pipe hole</t>
        </is>
      </c>
    </row>
    <row r="42">
      <c r="A42" s="23" t="inlineStr">
        <is>
          <t>Gratings</t>
        </is>
      </c>
      <c r="B42" s="23" t="inlineStr">
        <is>
          <t>SS Square Line Grating Heavy</t>
        </is>
      </c>
      <c r="C42" s="23" t="inlineStr">
        <is>
          <t>SS Square Line Grating Heavy (With Hole)</t>
        </is>
      </c>
      <c r="D42" s="24" t="inlineStr">
        <is>
          <t>BH-2105B-WH</t>
        </is>
      </c>
      <c r="E42" s="24" t="inlineStr">
        <is>
          <t>100x100mm</t>
        </is>
      </c>
      <c r="F42" s="24" t="inlineStr">
        <is>
          <t>SS-304</t>
        </is>
      </c>
      <c r="G42" s="25" t="n">
        <v>240</v>
      </c>
      <c r="H42" s="26">
        <f>G42*(1-Overview!$B$8)</f>
        <v/>
      </c>
      <c r="I42" s="24" t="inlineStr">
        <is>
          <t>12 PCS</t>
        </is>
      </c>
      <c r="J42" s="23" t="inlineStr">
        <is>
          <t>2mm Thick, with central pipe hole</t>
        </is>
      </c>
    </row>
    <row r="43">
      <c r="A43" s="14" t="inlineStr">
        <is>
          <t>Gratings</t>
        </is>
      </c>
      <c r="B43" s="14" t="inlineStr">
        <is>
          <t>SS Square Line Grating Heavy</t>
        </is>
      </c>
      <c r="C43" s="14" t="inlineStr">
        <is>
          <t>SS Square Line Grating Heavy (With Hole)</t>
        </is>
      </c>
      <c r="D43" s="27" t="inlineStr">
        <is>
          <t>BH-2105C-WH</t>
        </is>
      </c>
      <c r="E43" s="27" t="inlineStr">
        <is>
          <t>125x125mm</t>
        </is>
      </c>
      <c r="F43" s="27" t="inlineStr">
        <is>
          <t>SS-304</t>
        </is>
      </c>
      <c r="G43" s="28" t="n">
        <v>310</v>
      </c>
      <c r="H43" s="26">
        <f>G43*(1-Overview!$B$8)</f>
        <v/>
      </c>
      <c r="I43" s="27" t="inlineStr">
        <is>
          <t>6 PCS</t>
        </is>
      </c>
      <c r="J43" s="14" t="inlineStr">
        <is>
          <t>2mm Thick, with central pipe hole</t>
        </is>
      </c>
    </row>
    <row r="44">
      <c r="A44" s="23" t="inlineStr">
        <is>
          <t>Gratings</t>
        </is>
      </c>
      <c r="B44" s="23" t="inlineStr">
        <is>
          <t>SS Square Line Grating Heavy</t>
        </is>
      </c>
      <c r="C44" s="23" t="inlineStr">
        <is>
          <t>SS Square Line Grating Heavy (With Hole)</t>
        </is>
      </c>
      <c r="D44" s="24" t="inlineStr">
        <is>
          <t>BH-2105D-WH</t>
        </is>
      </c>
      <c r="E44" s="24" t="inlineStr">
        <is>
          <t>150x150mm</t>
        </is>
      </c>
      <c r="F44" s="24" t="inlineStr">
        <is>
          <t>SS-304</t>
        </is>
      </c>
      <c r="G44" s="25" t="n">
        <v>380</v>
      </c>
      <c r="H44" s="26">
        <f>G44*(1-Overview!$B$8)</f>
        <v/>
      </c>
      <c r="I44" s="24" t="inlineStr">
        <is>
          <t>2 PCS</t>
        </is>
      </c>
      <c r="J44" s="23" t="inlineStr">
        <is>
          <t>2mm Thick, with central pipe hole</t>
        </is>
      </c>
    </row>
    <row r="45">
      <c r="A45" s="14" t="inlineStr">
        <is>
          <t>Gratings</t>
        </is>
      </c>
      <c r="B45" s="14" t="inlineStr">
        <is>
          <t>Doom Floor Grating</t>
        </is>
      </c>
      <c r="C45" s="14" t="inlineStr">
        <is>
          <t>SS Doom Floor Grating (Standard)</t>
        </is>
      </c>
      <c r="D45" s="27" t="inlineStr">
        <is>
          <t>VI-ACC-03</t>
        </is>
      </c>
      <c r="E45" s="27" t="inlineStr">
        <is>
          <t>80mm</t>
        </is>
      </c>
      <c r="F45" s="27" t="inlineStr">
        <is>
          <t>Stainless Steel</t>
        </is>
      </c>
      <c r="G45" s="28" t="n">
        <v>35</v>
      </c>
      <c r="H45" s="26">
        <f>G45*(1-Overview!$B$8)</f>
        <v/>
      </c>
      <c r="I45" s="27" t="inlineStr">
        <is>
          <t>72 PCS</t>
        </is>
      </c>
      <c r="J45" s="14" t="inlineStr">
        <is>
          <t>Standard classic dome design</t>
        </is>
      </c>
    </row>
    <row r="46">
      <c r="A46" s="23" t="inlineStr">
        <is>
          <t>Gratings</t>
        </is>
      </c>
      <c r="B46" s="23" t="inlineStr">
        <is>
          <t>Doom Floor Grating</t>
        </is>
      </c>
      <c r="C46" s="23" t="inlineStr">
        <is>
          <t>SS Doom Floor Grating (Standard)</t>
        </is>
      </c>
      <c r="D46" s="24" t="inlineStr">
        <is>
          <t>VI-ACC-04</t>
        </is>
      </c>
      <c r="E46" s="24" t="inlineStr">
        <is>
          <t>100mm</t>
        </is>
      </c>
      <c r="F46" s="24" t="inlineStr">
        <is>
          <t>Stainless Steel</t>
        </is>
      </c>
      <c r="G46" s="25" t="n">
        <v>48</v>
      </c>
      <c r="H46" s="26">
        <f>G46*(1-Overview!$B$8)</f>
        <v/>
      </c>
      <c r="I46" s="24" t="inlineStr">
        <is>
          <t>48 PCS</t>
        </is>
      </c>
      <c r="J46" s="23" t="inlineStr">
        <is>
          <t>Standard classic dome design</t>
        </is>
      </c>
    </row>
    <row r="47">
      <c r="A47" s="14" t="inlineStr">
        <is>
          <t>Gratings</t>
        </is>
      </c>
      <c r="B47" s="14" t="inlineStr">
        <is>
          <t>Doom Floor Grating</t>
        </is>
      </c>
      <c r="C47" s="14" t="inlineStr">
        <is>
          <t>SS Doom Floor Grating (Standard)</t>
        </is>
      </c>
      <c r="D47" s="27" t="inlineStr">
        <is>
          <t>VI-ACC-05</t>
        </is>
      </c>
      <c r="E47" s="27" t="inlineStr">
        <is>
          <t>125mm</t>
        </is>
      </c>
      <c r="F47" s="27" t="inlineStr">
        <is>
          <t>Stainless Steel</t>
        </is>
      </c>
      <c r="G47" s="28" t="n">
        <v>57</v>
      </c>
      <c r="H47" s="26">
        <f>G47*(1-Overview!$B$8)</f>
        <v/>
      </c>
      <c r="I47" s="27" t="inlineStr">
        <is>
          <t>36 PCS</t>
        </is>
      </c>
      <c r="J47" s="14" t="inlineStr">
        <is>
          <t>Standard classic dome design</t>
        </is>
      </c>
    </row>
    <row r="48">
      <c r="A48" s="23" t="inlineStr">
        <is>
          <t>Gratings</t>
        </is>
      </c>
      <c r="B48" s="23" t="inlineStr">
        <is>
          <t>Doom Floor Grating</t>
        </is>
      </c>
      <c r="C48" s="23" t="inlineStr">
        <is>
          <t>SS Doom Floor Grating (With Hole)</t>
        </is>
      </c>
      <c r="D48" s="24" t="inlineStr">
        <is>
          <t>VI-ACC-06</t>
        </is>
      </c>
      <c r="E48" s="24" t="inlineStr">
        <is>
          <t>80mm</t>
        </is>
      </c>
      <c r="F48" s="24" t="inlineStr">
        <is>
          <t>Stainless Steel</t>
        </is>
      </c>
      <c r="G48" s="25" t="n">
        <v>35</v>
      </c>
      <c r="H48" s="26">
        <f>G48*(1-Overview!$B$8)</f>
        <v/>
      </c>
      <c r="I48" s="24" t="inlineStr">
        <is>
          <t>72 PCS</t>
        </is>
      </c>
      <c r="J48" s="23" t="inlineStr">
        <is>
          <t>Dome design with pipe hole</t>
        </is>
      </c>
    </row>
    <row r="49">
      <c r="A49" s="14" t="inlineStr">
        <is>
          <t>Gratings</t>
        </is>
      </c>
      <c r="B49" s="14" t="inlineStr">
        <is>
          <t>Doom Floor Grating</t>
        </is>
      </c>
      <c r="C49" s="14" t="inlineStr">
        <is>
          <t>SS Doom Floor Grating (With Hole)</t>
        </is>
      </c>
      <c r="D49" s="27" t="inlineStr">
        <is>
          <t>VI-ACC-07</t>
        </is>
      </c>
      <c r="E49" s="27" t="inlineStr">
        <is>
          <t>100mm</t>
        </is>
      </c>
      <c r="F49" s="27" t="inlineStr">
        <is>
          <t>Stainless Steel</t>
        </is>
      </c>
      <c r="G49" s="28" t="n">
        <v>48</v>
      </c>
      <c r="H49" s="26">
        <f>G49*(1-Overview!$B$8)</f>
        <v/>
      </c>
      <c r="I49" s="27" t="inlineStr">
        <is>
          <t>48 PCS</t>
        </is>
      </c>
      <c r="J49" s="14" t="inlineStr">
        <is>
          <t>Dome design with pipe hole</t>
        </is>
      </c>
    </row>
    <row r="50">
      <c r="A50" s="23" t="inlineStr">
        <is>
          <t>Gratings</t>
        </is>
      </c>
      <c r="B50" s="23" t="inlineStr">
        <is>
          <t>Doom Floor Grating</t>
        </is>
      </c>
      <c r="C50" s="23" t="inlineStr">
        <is>
          <t>SS Doom Floor Grating (With Hole)</t>
        </is>
      </c>
      <c r="D50" s="24" t="inlineStr">
        <is>
          <t>VI-ACC-08</t>
        </is>
      </c>
      <c r="E50" s="24" t="inlineStr">
        <is>
          <t>125mm</t>
        </is>
      </c>
      <c r="F50" s="24" t="inlineStr">
        <is>
          <t>Stainless Steel</t>
        </is>
      </c>
      <c r="G50" s="25" t="n">
        <v>57</v>
      </c>
      <c r="H50" s="26">
        <f>G50*(1-Overview!$B$8)</f>
        <v/>
      </c>
      <c r="I50" s="24" t="inlineStr">
        <is>
          <t>36 PCS</t>
        </is>
      </c>
      <c r="J50" s="23" t="inlineStr">
        <is>
          <t>Dome design with pipe hole</t>
        </is>
      </c>
    </row>
    <row r="51">
      <c r="A51" s="14" t="inlineStr">
        <is>
          <t>Gratings</t>
        </is>
      </c>
      <c r="B51" s="14" t="inlineStr">
        <is>
          <t>SS Line Wall Grating</t>
        </is>
      </c>
      <c r="C51" s="14" t="inlineStr">
        <is>
          <t>SS Line Wall Grating</t>
        </is>
      </c>
      <c r="D51" s="27" t="inlineStr">
        <is>
          <t>VI-ACC-09</t>
        </is>
      </c>
      <c r="E51" s="27" t="inlineStr">
        <is>
          <t>100mm</t>
        </is>
      </c>
      <c r="F51" s="27" t="inlineStr">
        <is>
          <t>Stainless Steel</t>
        </is>
      </c>
      <c r="G51" s="28" t="n">
        <v>42</v>
      </c>
      <c r="H51" s="26">
        <f>G51*(1-Overview!$B$8)</f>
        <v/>
      </c>
      <c r="I51" s="27" t="inlineStr">
        <is>
          <t>72 PCS</t>
        </is>
      </c>
      <c r="J51" s="14" t="inlineStr">
        <is>
          <t>Wall drain jali</t>
        </is>
      </c>
    </row>
    <row r="52">
      <c r="A52" s="23" t="inlineStr">
        <is>
          <t>Linear Drains</t>
        </is>
      </c>
      <c r="B52" s="23" t="inlineStr">
        <is>
          <t>Long Drain Channel</t>
        </is>
      </c>
      <c r="C52" s="23" t="inlineStr">
        <is>
          <t>Long Drain Channel for Shower (Square Hole)</t>
        </is>
      </c>
      <c r="D52" s="24" t="inlineStr">
        <is>
          <t>BH-1013-B</t>
        </is>
      </c>
      <c r="E52" s="24" t="inlineStr">
        <is>
          <t>100X450mm</t>
        </is>
      </c>
      <c r="F52" s="24" t="inlineStr">
        <is>
          <t>SS-304</t>
        </is>
      </c>
      <c r="G52" s="25" t="n">
        <v>3550</v>
      </c>
      <c r="H52" s="26">
        <f>G52*(1-Overview!$B$8)</f>
        <v/>
      </c>
      <c r="I52" s="24" t="inlineStr">
        <is>
          <t>NA</t>
        </is>
      </c>
      <c r="J52" s="23" t="inlineStr">
        <is>
          <t>Satin Silver</t>
        </is>
      </c>
    </row>
    <row r="53">
      <c r="A53" s="14" t="inlineStr">
        <is>
          <t>Linear Drains</t>
        </is>
      </c>
      <c r="B53" s="14" t="inlineStr">
        <is>
          <t>Long Drain Channel</t>
        </is>
      </c>
      <c r="C53" s="14" t="inlineStr">
        <is>
          <t>Long Drain Channel for Shower (Square Hole)</t>
        </is>
      </c>
      <c r="D53" s="27" t="inlineStr">
        <is>
          <t>BH-1013-C</t>
        </is>
      </c>
      <c r="E53" s="27" t="inlineStr">
        <is>
          <t>100X600mm</t>
        </is>
      </c>
      <c r="F53" s="27" t="inlineStr">
        <is>
          <t>SS-304</t>
        </is>
      </c>
      <c r="G53" s="28" t="n">
        <v>4730</v>
      </c>
      <c r="H53" s="26">
        <f>G53*(1-Overview!$B$8)</f>
        <v/>
      </c>
      <c r="I53" s="27" t="inlineStr">
        <is>
          <t>NA</t>
        </is>
      </c>
      <c r="J53" s="14" t="inlineStr">
        <is>
          <t>Satin Silver</t>
        </is>
      </c>
    </row>
    <row r="54">
      <c r="A54" s="23" t="inlineStr">
        <is>
          <t>Linear Drains</t>
        </is>
      </c>
      <c r="B54" s="23" t="inlineStr">
        <is>
          <t>Long Drain Channel</t>
        </is>
      </c>
      <c r="C54" s="23" t="inlineStr">
        <is>
          <t>Long Drain Channel for Shower (Line Design)</t>
        </is>
      </c>
      <c r="D54" s="24" t="inlineStr">
        <is>
          <t>BH-1014-B</t>
        </is>
      </c>
      <c r="E54" s="24" t="inlineStr">
        <is>
          <t>100X450mm</t>
        </is>
      </c>
      <c r="F54" s="24" t="inlineStr">
        <is>
          <t>SS-304</t>
        </is>
      </c>
      <c r="G54" s="25" t="n">
        <v>3550</v>
      </c>
      <c r="H54" s="26">
        <f>G54*(1-Overview!$B$8)</f>
        <v/>
      </c>
      <c r="I54" s="24" t="inlineStr">
        <is>
          <t>NA</t>
        </is>
      </c>
      <c r="J54" s="23" t="inlineStr">
        <is>
          <t>Satin Silver</t>
        </is>
      </c>
    </row>
    <row r="55">
      <c r="A55" s="14" t="inlineStr">
        <is>
          <t>Linear Drains</t>
        </is>
      </c>
      <c r="B55" s="14" t="inlineStr">
        <is>
          <t>Long Drain Channel</t>
        </is>
      </c>
      <c r="C55" s="14" t="inlineStr">
        <is>
          <t>Long Drain Channel for Shower (Line Design)</t>
        </is>
      </c>
      <c r="D55" s="27" t="inlineStr">
        <is>
          <t>BH-1014-C</t>
        </is>
      </c>
      <c r="E55" s="27" t="inlineStr">
        <is>
          <t>100X600mm</t>
        </is>
      </c>
      <c r="F55" s="27" t="inlineStr">
        <is>
          <t>SS-304</t>
        </is>
      </c>
      <c r="G55" s="28" t="n">
        <v>4730</v>
      </c>
      <c r="H55" s="26">
        <f>G55*(1-Overview!$B$8)</f>
        <v/>
      </c>
      <c r="I55" s="27" t="inlineStr">
        <is>
          <t>NA</t>
        </is>
      </c>
      <c r="J55" s="14" t="inlineStr">
        <is>
          <t>Satin Silver</t>
        </is>
      </c>
    </row>
    <row r="56">
      <c r="A56" s="23" t="inlineStr">
        <is>
          <t>Linear Drains</t>
        </is>
      </c>
      <c r="B56" s="23" t="inlineStr">
        <is>
          <t>Long Drain Channel</t>
        </is>
      </c>
      <c r="C56" s="23" t="inlineStr">
        <is>
          <t>Long Drain Channel for Shower (Piano)</t>
        </is>
      </c>
      <c r="D56" s="24" t="inlineStr">
        <is>
          <t>BH-4105-A</t>
        </is>
      </c>
      <c r="E56" s="24" t="inlineStr">
        <is>
          <t>100X300mm</t>
        </is>
      </c>
      <c r="F56" s="24" t="inlineStr">
        <is>
          <t>SS-304</t>
        </is>
      </c>
      <c r="G56" s="25" t="n">
        <v>2370</v>
      </c>
      <c r="H56" s="26">
        <f>G56*(1-Overview!$B$8)</f>
        <v/>
      </c>
      <c r="I56" s="24" t="inlineStr">
        <is>
          <t>NA</t>
        </is>
      </c>
      <c r="J56" s="23" t="inlineStr">
        <is>
          <t>Piano grid design</t>
        </is>
      </c>
    </row>
    <row r="57">
      <c r="A57" s="14" t="inlineStr">
        <is>
          <t>Linear Drains</t>
        </is>
      </c>
      <c r="B57" s="14" t="inlineStr">
        <is>
          <t>Long Drain Channel</t>
        </is>
      </c>
      <c r="C57" s="14" t="inlineStr">
        <is>
          <t>Long Drain Channel for Shower (Piano)</t>
        </is>
      </c>
      <c r="D57" s="27" t="inlineStr">
        <is>
          <t>BH-4105-B</t>
        </is>
      </c>
      <c r="E57" s="27" t="inlineStr">
        <is>
          <t>100X450mm</t>
        </is>
      </c>
      <c r="F57" s="27" t="inlineStr">
        <is>
          <t>SS-304</t>
        </is>
      </c>
      <c r="G57" s="28" t="n">
        <v>3550</v>
      </c>
      <c r="H57" s="26">
        <f>G57*(1-Overview!$B$8)</f>
        <v/>
      </c>
      <c r="I57" s="27" t="inlineStr">
        <is>
          <t>NA</t>
        </is>
      </c>
      <c r="J57" s="14" t="inlineStr">
        <is>
          <t>Piano grid design</t>
        </is>
      </c>
    </row>
    <row r="58">
      <c r="A58" s="23" t="inlineStr">
        <is>
          <t>Linear Drains</t>
        </is>
      </c>
      <c r="B58" s="23" t="inlineStr">
        <is>
          <t>Long Drain Channel</t>
        </is>
      </c>
      <c r="C58" s="23" t="inlineStr">
        <is>
          <t>Long Drain Channel for Shower (Piano)</t>
        </is>
      </c>
      <c r="D58" s="24" t="inlineStr">
        <is>
          <t>BH-4105-C</t>
        </is>
      </c>
      <c r="E58" s="24" t="inlineStr">
        <is>
          <t>100X600mm</t>
        </is>
      </c>
      <c r="F58" s="24" t="inlineStr">
        <is>
          <t>SS-304</t>
        </is>
      </c>
      <c r="G58" s="25" t="n">
        <v>4730</v>
      </c>
      <c r="H58" s="26">
        <f>G58*(1-Overview!$B$8)</f>
        <v/>
      </c>
      <c r="I58" s="24" t="inlineStr">
        <is>
          <t>NA</t>
        </is>
      </c>
      <c r="J58" s="23" t="inlineStr">
        <is>
          <t>Piano grid design</t>
        </is>
      </c>
    </row>
    <row r="59">
      <c r="A59" s="14" t="inlineStr">
        <is>
          <t>Linear Drains</t>
        </is>
      </c>
      <c r="B59" s="14" t="inlineStr">
        <is>
          <t>Long Drain Channel</t>
        </is>
      </c>
      <c r="C59" s="14" t="inlineStr">
        <is>
          <t>Long Drain Channel for Shower (Piano)</t>
        </is>
      </c>
      <c r="D59" s="27" t="inlineStr">
        <is>
          <t>BH-4105-D</t>
        </is>
      </c>
      <c r="E59" s="27" t="inlineStr">
        <is>
          <t>100X750mm</t>
        </is>
      </c>
      <c r="F59" s="27" t="inlineStr">
        <is>
          <t>SS-304</t>
        </is>
      </c>
      <c r="G59" s="28" t="n">
        <v>5920</v>
      </c>
      <c r="H59" s="26">
        <f>G59*(1-Overview!$B$8)</f>
        <v/>
      </c>
      <c r="I59" s="27" t="inlineStr">
        <is>
          <t>NA</t>
        </is>
      </c>
      <c r="J59" s="14" t="inlineStr">
        <is>
          <t>Piano grid design</t>
        </is>
      </c>
    </row>
    <row r="60">
      <c r="A60" s="23" t="inlineStr">
        <is>
          <t>Linear Drains</t>
        </is>
      </c>
      <c r="B60" s="23" t="inlineStr">
        <is>
          <t>Long Drain Channel</t>
        </is>
      </c>
      <c r="C60" s="23" t="inlineStr">
        <is>
          <t>Long Drain Channel for Shower (Piano CH)</t>
        </is>
      </c>
      <c r="D60" s="24" t="inlineStr">
        <is>
          <t>BH-4103D-CH</t>
        </is>
      </c>
      <c r="E60" s="24" t="inlineStr">
        <is>
          <t>100X600mm</t>
        </is>
      </c>
      <c r="F60" s="24" t="inlineStr">
        <is>
          <t>SS-304</t>
        </is>
      </c>
      <c r="G60" s="25" t="n">
        <v>5920</v>
      </c>
      <c r="H60" s="26">
        <f>G60*(1-Overview!$B$8)</f>
        <v/>
      </c>
      <c r="I60" s="24" t="inlineStr">
        <is>
          <t>NA</t>
        </is>
      </c>
      <c r="J60" s="23" t="inlineStr">
        <is>
          <t>Central Drain Hole model</t>
        </is>
      </c>
    </row>
    <row r="61">
      <c r="A61" s="14" t="inlineStr">
        <is>
          <t>Linear Drains</t>
        </is>
      </c>
      <c r="B61" s="14" t="inlineStr">
        <is>
          <t>Long Drain Channel</t>
        </is>
      </c>
      <c r="C61" s="14" t="inlineStr">
        <is>
          <t>Long Drain Channel with Tiles Insert</t>
        </is>
      </c>
      <c r="D61" s="27" t="inlineStr">
        <is>
          <t>BH-4104-B</t>
        </is>
      </c>
      <c r="E61" s="27" t="inlineStr">
        <is>
          <t>100X450mm</t>
        </is>
      </c>
      <c r="F61" s="27" t="inlineStr">
        <is>
          <t>SS-304</t>
        </is>
      </c>
      <c r="G61" s="28" t="n">
        <v>3550</v>
      </c>
      <c r="H61" s="26">
        <f>G61*(1-Overview!$B$8)</f>
        <v/>
      </c>
      <c r="I61" s="27" t="inlineStr">
        <is>
          <t>NA</t>
        </is>
      </c>
      <c r="J61" s="14" t="inlineStr">
        <is>
          <t>Plate: 1mm, Base: 1mm</t>
        </is>
      </c>
    </row>
    <row r="62">
      <c r="A62" s="23" t="inlineStr">
        <is>
          <t>Linear Drains</t>
        </is>
      </c>
      <c r="B62" s="23" t="inlineStr">
        <is>
          <t>Long Drain Channel</t>
        </is>
      </c>
      <c r="C62" s="23" t="inlineStr">
        <is>
          <t>Long Drain Channel with Tiles Insert</t>
        </is>
      </c>
      <c r="D62" s="24" t="inlineStr">
        <is>
          <t>BH-4104-C</t>
        </is>
      </c>
      <c r="E62" s="24" t="inlineStr">
        <is>
          <t>100X600mm</t>
        </is>
      </c>
      <c r="F62" s="24" t="inlineStr">
        <is>
          <t>SS-304</t>
        </is>
      </c>
      <c r="G62" s="25" t="n">
        <v>4730</v>
      </c>
      <c r="H62" s="26">
        <f>G62*(1-Overview!$B$8)</f>
        <v/>
      </c>
      <c r="I62" s="24" t="inlineStr">
        <is>
          <t>NA</t>
        </is>
      </c>
      <c r="J62" s="23" t="inlineStr">
        <is>
          <t>Plate: 1mm, Base: 1mm</t>
        </is>
      </c>
    </row>
    <row r="63">
      <c r="A63" s="14" t="inlineStr">
        <is>
          <t>Linear Drains</t>
        </is>
      </c>
      <c r="B63" s="14" t="inlineStr">
        <is>
          <t>Long Drain Channel</t>
        </is>
      </c>
      <c r="C63" s="14" t="inlineStr">
        <is>
          <t>Long Drain Channel with Tiles Insert</t>
        </is>
      </c>
      <c r="D63" s="27" t="inlineStr">
        <is>
          <t>BH-4104-D</t>
        </is>
      </c>
      <c r="E63" s="27" t="inlineStr">
        <is>
          <t>100X750mm</t>
        </is>
      </c>
      <c r="F63" s="27" t="inlineStr">
        <is>
          <t>SS-304</t>
        </is>
      </c>
      <c r="G63" s="28" t="n">
        <v>5920</v>
      </c>
      <c r="H63" s="26">
        <f>G63*(1-Overview!$B$8)</f>
        <v/>
      </c>
      <c r="I63" s="27" t="inlineStr">
        <is>
          <t>NA</t>
        </is>
      </c>
      <c r="J63" s="14" t="inlineStr">
        <is>
          <t>Plate: 1mm, Base: 1mm</t>
        </is>
      </c>
    </row>
    <row r="64">
      <c r="A64" s="23" t="inlineStr">
        <is>
          <t>Linear Drains</t>
        </is>
      </c>
      <c r="B64" s="23" t="inlineStr">
        <is>
          <t>Long Drain Channel</t>
        </is>
      </c>
      <c r="C64" s="23" t="inlineStr">
        <is>
          <t>Triangle Floor Drain Plain Tiles Insert</t>
        </is>
      </c>
      <c r="D64" s="24" t="inlineStr">
        <is>
          <t>BH-5104</t>
        </is>
      </c>
      <c r="E64" s="24" t="inlineStr">
        <is>
          <t>250X250X60mm</t>
        </is>
      </c>
      <c r="F64" s="24" t="inlineStr">
        <is>
          <t>SS-304</t>
        </is>
      </c>
      <c r="G64" s="25" t="n">
        <v>2550</v>
      </c>
      <c r="H64" s="26">
        <f>G64*(1-Overview!$B$8)</f>
        <v/>
      </c>
      <c r="I64" s="24" t="inlineStr">
        <is>
          <t>NA</t>
        </is>
      </c>
      <c r="J64" s="23" t="inlineStr">
        <is>
          <t>Triangle shape shower insert</t>
        </is>
      </c>
    </row>
    <row r="65">
      <c r="A65" s="14" t="inlineStr">
        <is>
          <t>Linear Drains</t>
        </is>
      </c>
      <c r="B65" s="14" t="inlineStr">
        <is>
          <t>Long Drain Channel Slimline</t>
        </is>
      </c>
      <c r="C65" s="14" t="inlineStr">
        <is>
          <t>Long Drain Channel Slimline</t>
        </is>
      </c>
      <c r="D65" s="27" t="inlineStr">
        <is>
          <t>BH-4111</t>
        </is>
      </c>
      <c r="E65" s="27" t="inlineStr">
        <is>
          <t>30X600mm</t>
        </is>
      </c>
      <c r="F65" s="27" t="inlineStr">
        <is>
          <t>SS-304</t>
        </is>
      </c>
      <c r="G65" s="28" t="n">
        <v>3910</v>
      </c>
      <c r="H65" s="26">
        <f>G65*(1-Overview!$B$8)</f>
        <v/>
      </c>
      <c r="I65" s="27" t="inlineStr">
        <is>
          <t>NA</t>
        </is>
      </c>
      <c r="J65" s="14" t="inlineStr">
        <is>
          <t>Super slim profile drain</t>
        </is>
      </c>
    </row>
    <row r="66">
      <c r="A66" s="23" t="inlineStr">
        <is>
          <t>Waste Couplings</t>
        </is>
      </c>
      <c r="B66" s="23" t="inlineStr">
        <is>
          <t>Waste Couplings</t>
        </is>
      </c>
      <c r="C66" s="23" t="inlineStr">
        <is>
          <t>Brass Waste Coupling Full Thread</t>
        </is>
      </c>
      <c r="D66" s="24" t="inlineStr">
        <is>
          <t>NB-021</t>
        </is>
      </c>
      <c r="E66" s="24" t="inlineStr">
        <is>
          <t>32X80mm</t>
        </is>
      </c>
      <c r="F66" s="24" t="inlineStr">
        <is>
          <t>Forged Brass</t>
        </is>
      </c>
      <c r="G66" s="25" t="n">
        <v>530</v>
      </c>
      <c r="H66" s="26">
        <f>G66*(1-Overview!$B$8)</f>
        <v/>
      </c>
      <c r="I66" s="24" t="inlineStr">
        <is>
          <t>56 PCS</t>
        </is>
      </c>
      <c r="J66" s="23" t="inlineStr">
        <is>
          <t>Premium chrome plating</t>
        </is>
      </c>
    </row>
    <row r="67">
      <c r="A67" s="14" t="inlineStr">
        <is>
          <t>Waste Couplings</t>
        </is>
      </c>
      <c r="B67" s="14" t="inlineStr">
        <is>
          <t>Waste Couplings</t>
        </is>
      </c>
      <c r="C67" s="14" t="inlineStr">
        <is>
          <t>Brass Waste Coupling Full Thread</t>
        </is>
      </c>
      <c r="D67" s="27" t="inlineStr">
        <is>
          <t>NB-022</t>
        </is>
      </c>
      <c r="E67" s="27" t="inlineStr">
        <is>
          <t>32X150mm</t>
        </is>
      </c>
      <c r="F67" s="27" t="inlineStr">
        <is>
          <t>Forged Brass</t>
        </is>
      </c>
      <c r="G67" s="28" t="n">
        <v>840</v>
      </c>
      <c r="H67" s="26">
        <f>G67*(1-Overview!$B$8)</f>
        <v/>
      </c>
      <c r="I67" s="27" t="inlineStr">
        <is>
          <t>NA</t>
        </is>
      </c>
      <c r="J67" s="14" t="inlineStr">
        <is>
          <t>Premium chrome plating</t>
        </is>
      </c>
    </row>
    <row r="68">
      <c r="A68" s="23" t="inlineStr">
        <is>
          <t>Waste Couplings</t>
        </is>
      </c>
      <c r="B68" s="23" t="inlineStr">
        <is>
          <t>Waste Couplings</t>
        </is>
      </c>
      <c r="C68" s="23" t="inlineStr">
        <is>
          <t>SS Waste Coupling</t>
        </is>
      </c>
      <c r="D68" s="24" t="inlineStr">
        <is>
          <t>VI-ACC-01</t>
        </is>
      </c>
      <c r="E68" s="24" t="inlineStr">
        <is>
          <t>32X80mm</t>
        </is>
      </c>
      <c r="F68" s="24" t="inlineStr">
        <is>
          <t>Stainless Steel</t>
        </is>
      </c>
      <c r="G68" s="25" t="n">
        <v>250</v>
      </c>
      <c r="H68" s="26">
        <f>G68*(1-Overview!$B$8)</f>
        <v/>
      </c>
      <c r="I68" s="24" t="inlineStr">
        <is>
          <t>56 PCS</t>
        </is>
      </c>
      <c r="J68" s="23" t="inlineStr">
        <is>
          <t>Corrosion resistant design</t>
        </is>
      </c>
    </row>
    <row r="69">
      <c r="A69" s="14" t="inlineStr">
        <is>
          <t>Waste Couplings</t>
        </is>
      </c>
      <c r="B69" s="14" t="inlineStr">
        <is>
          <t>Sink Waste Couplings</t>
        </is>
      </c>
      <c r="C69" s="14" t="inlineStr">
        <is>
          <t>Sink Waste Coupling PVC Body</t>
        </is>
      </c>
      <c r="D69" s="27" t="inlineStr">
        <is>
          <t>AI-SI-ACC-100</t>
        </is>
      </c>
      <c r="E69" s="27" t="inlineStr">
        <is>
          <t>100mm</t>
        </is>
      </c>
      <c r="F69" s="27" t="inlineStr">
        <is>
          <t>SS Top, PVC Body</t>
        </is>
      </c>
      <c r="G69" s="28" t="n">
        <v>280</v>
      </c>
      <c r="H69" s="26">
        <f>G69*(1-Overview!$B$8)</f>
        <v/>
      </c>
      <c r="I69" s="27" t="inlineStr">
        <is>
          <t>100 PCS</t>
        </is>
      </c>
      <c r="J69" s="14" t="inlineStr">
        <is>
          <t>Reliable seal sink drain</t>
        </is>
      </c>
    </row>
    <row r="70">
      <c r="A70" s="23" t="inlineStr">
        <is>
          <t>Waste Couplings</t>
        </is>
      </c>
      <c r="B70" s="23" t="inlineStr">
        <is>
          <t>Sink Waste Couplings</t>
        </is>
      </c>
      <c r="C70" s="23" t="inlineStr">
        <is>
          <t>Sink Waste Coupling SS Body</t>
        </is>
      </c>
      <c r="D70" s="24" t="inlineStr">
        <is>
          <t>VI-ACC-12</t>
        </is>
      </c>
      <c r="E70" s="24" t="inlineStr">
        <is>
          <t>100mm</t>
        </is>
      </c>
      <c r="F70" s="24" t="inlineStr">
        <is>
          <t>SS Body &amp; Strainer</t>
        </is>
      </c>
      <c r="G70" s="25" t="n">
        <v>290</v>
      </c>
      <c r="H70" s="26">
        <f>G70*(1-Overview!$B$8)</f>
        <v/>
      </c>
      <c r="I70" s="24" t="inlineStr">
        <is>
          <t>50 PCS</t>
        </is>
      </c>
      <c r="J70" s="23" t="inlineStr">
        <is>
          <t>All steel sink drain</t>
        </is>
      </c>
    </row>
    <row r="71">
      <c r="A71" s="14" t="inlineStr">
        <is>
          <t>Waste Couplings</t>
        </is>
      </c>
      <c r="B71" s="14" t="inlineStr">
        <is>
          <t>Sink Waste Couplings</t>
        </is>
      </c>
      <c r="C71" s="14" t="inlineStr">
        <is>
          <t>Sink Waste Coupling Heavy Square</t>
        </is>
      </c>
      <c r="D71" s="27" t="inlineStr">
        <is>
          <t>AI-SI-ACC-101SQ</t>
        </is>
      </c>
      <c r="E71" s="27" t="inlineStr">
        <is>
          <t>100mm</t>
        </is>
      </c>
      <c r="F71" s="27" t="inlineStr">
        <is>
          <t>SS-304 PVC Body</t>
        </is>
      </c>
      <c r="G71" s="28" t="n">
        <v>530</v>
      </c>
      <c r="H71" s="26">
        <f>G71*(1-Overview!$B$8)</f>
        <v/>
      </c>
      <c r="I71" s="27" t="inlineStr">
        <is>
          <t>50 PCS</t>
        </is>
      </c>
      <c r="J71" s="14" t="inlineStr">
        <is>
          <t>Square grid pattern (Formerly AI-SI-ACC-101 in Vol 8.1)</t>
        </is>
      </c>
    </row>
    <row r="72">
      <c r="A72" s="23" t="inlineStr">
        <is>
          <t>Waste Couplings</t>
        </is>
      </c>
      <c r="B72" s="23" t="inlineStr">
        <is>
          <t>Sink Waste Couplings</t>
        </is>
      </c>
      <c r="C72" s="23" t="inlineStr">
        <is>
          <t>Sink Waste Coupling Heavy Round</t>
        </is>
      </c>
      <c r="D72" s="24" t="inlineStr">
        <is>
          <t>AI-SI-ACC-101R</t>
        </is>
      </c>
      <c r="E72" s="24" t="inlineStr">
        <is>
          <t>100mm</t>
        </is>
      </c>
      <c r="F72" s="24" t="inlineStr">
        <is>
          <t>SS-304 PVC Body</t>
        </is>
      </c>
      <c r="G72" s="25" t="n">
        <v>530</v>
      </c>
      <c r="H72" s="26">
        <f>G72*(1-Overview!$B$8)</f>
        <v/>
      </c>
      <c r="I72" s="24" t="inlineStr">
        <is>
          <t>50 PCS</t>
        </is>
      </c>
      <c r="J72" s="23" t="inlineStr">
        <is>
          <t>Round grid pattern</t>
        </is>
      </c>
    </row>
    <row r="73">
      <c r="A73" s="14" t="inlineStr">
        <is>
          <t>Waste Couplings</t>
        </is>
      </c>
      <c r="B73" s="14" t="inlineStr">
        <is>
          <t>Waste Couplings</t>
        </is>
      </c>
      <c r="C73" s="14" t="inlineStr">
        <is>
          <t>Waste Coupling K Type Long</t>
        </is>
      </c>
      <c r="D73" s="27" t="inlineStr">
        <is>
          <t>BH-1116CP</t>
        </is>
      </c>
      <c r="E73" s="27" t="inlineStr">
        <is>
          <t>32x150mm</t>
        </is>
      </c>
      <c r="F73" s="27" t="inlineStr">
        <is>
          <t>SS/ABS</t>
        </is>
      </c>
      <c r="G73" s="28" t="n">
        <v>420</v>
      </c>
      <c r="H73" s="26">
        <f>G73*(1-Overview!$B$8)</f>
        <v/>
      </c>
      <c r="I73" s="27" t="inlineStr">
        <is>
          <t>NA</t>
        </is>
      </c>
      <c r="J73" s="14" t="inlineStr">
        <is>
          <t>Extending long neck (Colors on order)</t>
        </is>
      </c>
    </row>
    <row r="74">
      <c r="A74" s="23" t="inlineStr">
        <is>
          <t>Flanges</t>
        </is>
      </c>
      <c r="B74" s="23" t="inlineStr">
        <is>
          <t>Round Flanges</t>
        </is>
      </c>
      <c r="C74" s="23" t="inlineStr">
        <is>
          <t>Round (J4) Flange (Mirror Finish)</t>
        </is>
      </c>
      <c r="D74" s="24" t="inlineStr">
        <is>
          <t>VI-ACC-02</t>
        </is>
      </c>
      <c r="E74" s="24" t="inlineStr">
        <is>
          <t>70mm</t>
        </is>
      </c>
      <c r="F74" s="24" t="inlineStr">
        <is>
          <t>SS-202</t>
        </is>
      </c>
      <c r="G74" s="25" t="n">
        <v>25</v>
      </c>
      <c r="H74" s="26">
        <f>G74*(1-Overview!$B$8)</f>
        <v/>
      </c>
      <c r="I74" s="24" t="inlineStr">
        <is>
          <t>50 PCS</t>
        </is>
      </c>
      <c r="J74" s="23" t="inlineStr">
        <is>
          <t>Wall aesthetic ring</t>
        </is>
      </c>
    </row>
    <row r="75">
      <c r="A75" s="14" t="inlineStr">
        <is>
          <t>Flanges</t>
        </is>
      </c>
      <c r="B75" s="14" t="inlineStr">
        <is>
          <t>Square Flanges</t>
        </is>
      </c>
      <c r="C75" s="14" t="inlineStr">
        <is>
          <t>Square Flange (Mirror Finish)</t>
        </is>
      </c>
      <c r="D75" s="27" t="inlineStr">
        <is>
          <t>NM-6099</t>
        </is>
      </c>
      <c r="E75" s="27" t="inlineStr">
        <is>
          <t>50X50mm</t>
        </is>
      </c>
      <c r="F75" s="27" t="inlineStr">
        <is>
          <t>SS-202</t>
        </is>
      </c>
      <c r="G75" s="28" t="n">
        <v>54</v>
      </c>
      <c r="H75" s="26">
        <f>G75*(1-Overview!$B$8)</f>
        <v/>
      </c>
      <c r="I75" s="27" t="inlineStr">
        <is>
          <t>48 PCS</t>
        </is>
      </c>
      <c r="J75" s="14" t="inlineStr">
        <is>
          <t>Square cover collar</t>
        </is>
      </c>
    </row>
    <row r="76">
      <c r="A76" s="23" t="inlineStr">
        <is>
          <t>Flanges</t>
        </is>
      </c>
      <c r="B76" s="23" t="inlineStr">
        <is>
          <t>Pillar Cock Flanges</t>
        </is>
      </c>
      <c r="C76" s="23" t="inlineStr">
        <is>
          <t>Pillar Cock Flange (Mirror Finish)</t>
        </is>
      </c>
      <c r="D76" s="24" t="inlineStr">
        <is>
          <t>BH-5000</t>
        </is>
      </c>
      <c r="E76" s="24" t="inlineStr">
        <is>
          <t>Standard</t>
        </is>
      </c>
      <c r="F76" s="24" t="inlineStr">
        <is>
          <t>SS-304</t>
        </is>
      </c>
      <c r="G76" s="25" t="n">
        <v>40</v>
      </c>
      <c r="H76" s="26">
        <f>G76*(1-Overview!$B$8)</f>
        <v/>
      </c>
      <c r="I76" s="24" t="inlineStr">
        <is>
          <t>25 PCS</t>
        </is>
      </c>
      <c r="J76" s="23" t="inlineStr">
        <is>
          <t>Superior grade mirror flange</t>
        </is>
      </c>
    </row>
    <row r="77">
      <c r="A77" s="14" t="inlineStr">
        <is>
          <t>Valves</t>
        </is>
      </c>
      <c r="B77" s="14" t="inlineStr">
        <is>
          <t>Ball Valves</t>
        </is>
      </c>
      <c r="C77" s="14" t="inlineStr">
        <is>
          <t>CPVC Ball Valve</t>
        </is>
      </c>
      <c r="D77" s="27" t="inlineStr">
        <is>
          <t>TB-BV-020</t>
        </is>
      </c>
      <c r="E77" s="27" t="inlineStr">
        <is>
          <t>20mm</t>
        </is>
      </c>
      <c r="F77" s="27" t="inlineStr">
        <is>
          <t>CPVC</t>
        </is>
      </c>
      <c r="G77" s="28" t="n">
        <v>170</v>
      </c>
      <c r="H77" s="26">
        <f>G77*(1-Overview!$B$8)</f>
        <v/>
      </c>
      <c r="I77" s="27" t="inlineStr">
        <is>
          <t>200 PCS</t>
        </is>
      </c>
      <c r="J77" s="14" t="inlineStr">
        <is>
          <t>Industrial grade turn valve</t>
        </is>
      </c>
    </row>
    <row r="78">
      <c r="A78" s="23" t="inlineStr">
        <is>
          <t>Valves</t>
        </is>
      </c>
      <c r="B78" s="23" t="inlineStr">
        <is>
          <t>Ball Valves</t>
        </is>
      </c>
      <c r="C78" s="23" t="inlineStr">
        <is>
          <t>CPVC Ball Valve</t>
        </is>
      </c>
      <c r="D78" s="24" t="inlineStr">
        <is>
          <t>TB-BV-025</t>
        </is>
      </c>
      <c r="E78" s="24" t="inlineStr">
        <is>
          <t>25mm</t>
        </is>
      </c>
      <c r="F78" s="24" t="inlineStr">
        <is>
          <t>CPVC</t>
        </is>
      </c>
      <c r="G78" s="25" t="n">
        <v>240</v>
      </c>
      <c r="H78" s="26">
        <f>G78*(1-Overview!$B$8)</f>
        <v/>
      </c>
      <c r="I78" s="24" t="inlineStr">
        <is>
          <t>120 PCS</t>
        </is>
      </c>
      <c r="J78" s="23" t="inlineStr">
        <is>
          <t>Industrial grade turn valve</t>
        </is>
      </c>
    </row>
    <row r="79">
      <c r="A79" s="14" t="inlineStr">
        <is>
          <t>Valves</t>
        </is>
      </c>
      <c r="B79" s="14" t="inlineStr">
        <is>
          <t>Ball Valves</t>
        </is>
      </c>
      <c r="C79" s="14" t="inlineStr">
        <is>
          <t>CPVC Ball Valve</t>
        </is>
      </c>
      <c r="D79" s="27" t="inlineStr">
        <is>
          <t>TB-BV-032</t>
        </is>
      </c>
      <c r="E79" s="27" t="inlineStr">
        <is>
          <t>32mm</t>
        </is>
      </c>
      <c r="F79" s="27" t="inlineStr">
        <is>
          <t>CPVC</t>
        </is>
      </c>
      <c r="G79" s="28" t="n">
        <v>500</v>
      </c>
      <c r="H79" s="26">
        <f>G79*(1-Overview!$B$8)</f>
        <v/>
      </c>
      <c r="I79" s="27" t="inlineStr">
        <is>
          <t>80 PCS</t>
        </is>
      </c>
      <c r="J79" s="14" t="inlineStr">
        <is>
          <t>Industrial grade turn valve</t>
        </is>
      </c>
    </row>
    <row r="80">
      <c r="A80" s="23" t="inlineStr">
        <is>
          <t>Valves</t>
        </is>
      </c>
      <c r="B80" s="23" t="inlineStr">
        <is>
          <t>Ball Valves</t>
        </is>
      </c>
      <c r="C80" s="23" t="inlineStr">
        <is>
          <t>CPVC Ball Valve</t>
        </is>
      </c>
      <c r="D80" s="24" t="inlineStr">
        <is>
          <t>TB-BV-040</t>
        </is>
      </c>
      <c r="E80" s="24" t="inlineStr">
        <is>
          <t>40mm</t>
        </is>
      </c>
      <c r="F80" s="24" t="inlineStr">
        <is>
          <t>CPVC</t>
        </is>
      </c>
      <c r="G80" s="25" t="n">
        <v>770</v>
      </c>
      <c r="H80" s="26">
        <f>G80*(1-Overview!$B$8)</f>
        <v/>
      </c>
      <c r="I80" s="24" t="inlineStr">
        <is>
          <t>60 PCS</t>
        </is>
      </c>
      <c r="J80" s="23" t="inlineStr">
        <is>
          <t>Industrial grade turn valve</t>
        </is>
      </c>
    </row>
    <row r="81">
      <c r="A81" s="14" t="inlineStr">
        <is>
          <t>Pipes</t>
        </is>
      </c>
      <c r="B81" s="14" t="inlineStr">
        <is>
          <t>Waste Pipes</t>
        </is>
      </c>
      <c r="C81" s="14" t="inlineStr">
        <is>
          <t>PVC Urinal Waste Pipe With Tail White</t>
        </is>
      </c>
      <c r="D81" s="27" t="inlineStr">
        <is>
          <t>AP-ACC-06</t>
        </is>
      </c>
      <c r="E81" s="27" t="inlineStr">
        <is>
          <t>32X900mm</t>
        </is>
      </c>
      <c r="F81" s="27" t="inlineStr">
        <is>
          <t>PVC</t>
        </is>
      </c>
      <c r="G81" s="28" t="n">
        <v>190</v>
      </c>
      <c r="H81" s="26">
        <f>G81*(1-Overview!$B$8)</f>
        <v/>
      </c>
      <c r="I81" s="27" t="inlineStr">
        <is>
          <t>100 PCS</t>
        </is>
      </c>
      <c r="J81" s="14" t="inlineStr">
        <is>
          <t>Corrugated bendable pipe with adapter tail</t>
        </is>
      </c>
    </row>
    <row r="82">
      <c r="A82" s="23" t="inlineStr">
        <is>
          <t>Pipes</t>
        </is>
      </c>
      <c r="B82" s="23" t="inlineStr">
        <is>
          <t>Waste Pipes</t>
        </is>
      </c>
      <c r="C82" s="23" t="inlineStr">
        <is>
          <t>PVC Waste Pipe Corrugated</t>
        </is>
      </c>
      <c r="D82" s="24" t="inlineStr">
        <is>
          <t>AP-ACC-02</t>
        </is>
      </c>
      <c r="E82" s="24" t="inlineStr">
        <is>
          <t>32X875mm</t>
        </is>
      </c>
      <c r="F82" s="24" t="inlineStr">
        <is>
          <t>PVC</t>
        </is>
      </c>
      <c r="G82" s="25" t="n">
        <v>100</v>
      </c>
      <c r="H82" s="26">
        <f>G82*(1-Overview!$B$8)</f>
        <v/>
      </c>
      <c r="I82" s="24" t="inlineStr">
        <is>
          <t>100 PCS</t>
        </is>
      </c>
      <c r="J82" s="23" t="inlineStr">
        <is>
          <t>Standard kitchen/washbasin drain pipe</t>
        </is>
      </c>
    </row>
    <row r="83">
      <c r="A83" s="14" t="inlineStr">
        <is>
          <t>Pipes</t>
        </is>
      </c>
      <c r="B83" s="14" t="inlineStr">
        <is>
          <t>Waste Pipes</t>
        </is>
      </c>
      <c r="C83" s="14" t="inlineStr">
        <is>
          <t>PVC Waste Hose Pipe Heavy White</t>
        </is>
      </c>
      <c r="D83" s="27" t="inlineStr">
        <is>
          <t>AP-ACC-01</t>
        </is>
      </c>
      <c r="E83" s="27" t="inlineStr">
        <is>
          <t>32X900mm</t>
        </is>
      </c>
      <c r="F83" s="27" t="inlineStr">
        <is>
          <t>PVC</t>
        </is>
      </c>
      <c r="G83" s="28" t="n">
        <v>190</v>
      </c>
      <c r="H83" s="26">
        <f>G83*(1-Overview!$B$8)</f>
        <v/>
      </c>
      <c r="I83" s="27" t="inlineStr">
        <is>
          <t>100 PCS</t>
        </is>
      </c>
      <c r="J83" s="14" t="inlineStr">
        <is>
          <t>Thick walls heavy duty hose</t>
        </is>
      </c>
    </row>
    <row r="84">
      <c r="A84" s="23" t="inlineStr">
        <is>
          <t>Pipes</t>
        </is>
      </c>
      <c r="B84" s="23" t="inlineStr">
        <is>
          <t>Waste Pipes</t>
        </is>
      </c>
      <c r="C84" s="23" t="inlineStr">
        <is>
          <t>PVC Waste Hose Pipe Heavy White</t>
        </is>
      </c>
      <c r="D84" s="24" t="inlineStr">
        <is>
          <t>AP-ACC-05</t>
        </is>
      </c>
      <c r="E84" s="24" t="inlineStr">
        <is>
          <t>32X1200mm</t>
        </is>
      </c>
      <c r="F84" s="24" t="inlineStr">
        <is>
          <t>PVC</t>
        </is>
      </c>
      <c r="G84" s="25" t="n">
        <v>250</v>
      </c>
      <c r="H84" s="26">
        <f>G84*(1-Overview!$B$8)</f>
        <v/>
      </c>
      <c r="I84" s="24" t="inlineStr">
        <is>
          <t>100 PCS</t>
        </is>
      </c>
      <c r="J84" s="23" t="inlineStr">
        <is>
          <t>Thick walls heavy duty hose</t>
        </is>
      </c>
    </row>
    <row r="85">
      <c r="A85" s="14" t="inlineStr">
        <is>
          <t>Flushing Systems</t>
        </is>
      </c>
      <c r="B85" s="14" t="inlineStr">
        <is>
          <t>Flushing Cisterns</t>
        </is>
      </c>
      <c r="C85" s="14" t="inlineStr">
        <is>
          <t>PVC Single Flush (Push) Cistern (10 Lt.)</t>
        </is>
      </c>
      <c r="D85" s="27" t="inlineStr">
        <is>
          <t>RP-7030</t>
        </is>
      </c>
      <c r="E85" s="27" t="inlineStr">
        <is>
          <t>10 Ltrs</t>
        </is>
      </c>
      <c r="F85" s="27" t="inlineStr">
        <is>
          <t>PVC/ABS</t>
        </is>
      </c>
      <c r="G85" s="28" t="n">
        <v>1050</v>
      </c>
      <c r="H85" s="26">
        <f>G85*(1-Overview!$B$8)</f>
        <v/>
      </c>
      <c r="I85" s="27" t="inlineStr">
        <is>
          <t>10 PCS</t>
        </is>
      </c>
      <c r="J85" s="14" t="inlineStr">
        <is>
          <t>Side-push robust design</t>
        </is>
      </c>
    </row>
    <row r="86">
      <c r="A86" s="23" t="inlineStr">
        <is>
          <t>Flushing Systems</t>
        </is>
      </c>
      <c r="B86" s="23" t="inlineStr">
        <is>
          <t>Flushing Cisterns</t>
        </is>
      </c>
      <c r="C86" s="23" t="inlineStr">
        <is>
          <t>PVC Dual Flush Cistern (3/7 Lt.)</t>
        </is>
      </c>
      <c r="D86" s="24" t="inlineStr">
        <is>
          <t>RP-7050</t>
        </is>
      </c>
      <c r="E86" s="24" t="inlineStr">
        <is>
          <t>3/7 Ltrs</t>
        </is>
      </c>
      <c r="F86" s="24" t="inlineStr">
        <is>
          <t>PVC/ABS</t>
        </is>
      </c>
      <c r="G86" s="25" t="n">
        <v>1700</v>
      </c>
      <c r="H86" s="26">
        <f>G86*(1-Overview!$B$8)</f>
        <v/>
      </c>
      <c r="I86" s="24" t="inlineStr">
        <is>
          <t>10 PCS</t>
        </is>
      </c>
      <c r="J86" s="23" t="inlineStr">
        <is>
          <t>Water-saving dual activator model</t>
        </is>
      </c>
    </row>
    <row r="87">
      <c r="A87" s="14" t="inlineStr">
        <is>
          <t>Flushing Systems</t>
        </is>
      </c>
      <c r="B87" s="14" t="inlineStr">
        <is>
          <t>Plumbing Accessories</t>
        </is>
      </c>
      <c r="C87" s="14" t="inlineStr">
        <is>
          <t>PVC Long Bend (3 PC.)</t>
        </is>
      </c>
      <c r="D87" s="27" t="inlineStr">
        <is>
          <t>RP-SP-09</t>
        </is>
      </c>
      <c r="E87" s="27" t="inlineStr">
        <is>
          <t>Extension only (1 pc)</t>
        </is>
      </c>
      <c r="F87" s="27" t="inlineStr">
        <is>
          <t>PVC</t>
        </is>
      </c>
      <c r="G87" s="28" t="n">
        <v>60</v>
      </c>
      <c r="H87" s="26">
        <f>G87*(1-Overview!$B$8)</f>
        <v/>
      </c>
      <c r="I87" s="27" t="inlineStr">
        <is>
          <t>NA</t>
        </is>
      </c>
      <c r="J87" s="14" t="inlineStr">
        <is>
          <t>Extends toilet/flush bend pipes</t>
        </is>
      </c>
    </row>
    <row r="88">
      <c r="A88" s="23" t="inlineStr">
        <is>
          <t>Flushing Systems</t>
        </is>
      </c>
      <c r="B88" s="23" t="inlineStr">
        <is>
          <t>Plumbing Accessories</t>
        </is>
      </c>
      <c r="C88" s="23" t="inlineStr">
        <is>
          <t>PVC Smart Seat Cover</t>
        </is>
      </c>
      <c r="D88" s="24" t="inlineStr">
        <is>
          <t>RP-1001</t>
        </is>
      </c>
      <c r="E88" s="24" t="inlineStr">
        <is>
          <t>Standard</t>
        </is>
      </c>
      <c r="F88" s="24" t="inlineStr">
        <is>
          <t>PVC</t>
        </is>
      </c>
      <c r="G88" s="25" t="n">
        <v>495</v>
      </c>
      <c r="H88" s="26">
        <f>G88*(1-Overview!$B$8)</f>
        <v/>
      </c>
      <c r="I88" s="24" t="inlineStr">
        <is>
          <t>20 PCS</t>
        </is>
      </c>
      <c r="J88" s="23" t="inlineStr">
        <is>
          <t>Standard white soft seat</t>
        </is>
      </c>
    </row>
    <row r="89">
      <c r="A89" s="14" t="inlineStr">
        <is>
          <t>Flushing Systems</t>
        </is>
      </c>
      <c r="B89" s="14" t="inlineStr">
        <is>
          <t>Plumbing Accessories</t>
        </is>
      </c>
      <c r="C89" s="14" t="inlineStr">
        <is>
          <t>Urinal Spreader for Hindware</t>
        </is>
      </c>
      <c r="D89" s="27" t="inlineStr">
        <is>
          <t>NBSP-201</t>
        </is>
      </c>
      <c r="E89" s="27" t="inlineStr">
        <is>
          <t>Standard</t>
        </is>
      </c>
      <c r="F89" s="27" t="inlineStr">
        <is>
          <t>Brass/ABS</t>
        </is>
      </c>
      <c r="G89" s="28" t="n">
        <v>660</v>
      </c>
      <c r="H89" s="26">
        <f>G89*(1-Overview!$B$8)</f>
        <v/>
      </c>
      <c r="I89" s="27" t="inlineStr">
        <is>
          <t>5 PCS</t>
        </is>
      </c>
      <c r="J89" s="14" t="inlineStr">
        <is>
          <t>Specialty spreader nozzle</t>
        </is>
      </c>
    </row>
    <row r="90">
      <c r="A90" s="23" t="inlineStr">
        <is>
          <t>Hardware Kits</t>
        </is>
      </c>
      <c r="B90" s="23" t="inlineStr">
        <is>
          <t>Rack Bolt Kits</t>
        </is>
      </c>
      <c r="C90" s="23" t="inlineStr">
        <is>
          <t>Rack Bolt Kit (L-Key Type)</t>
        </is>
      </c>
      <c r="D90" s="24" t="inlineStr">
        <is>
          <t>BH-111</t>
        </is>
      </c>
      <c r="E90" s="24" t="inlineStr">
        <is>
          <t>12X160mm</t>
        </is>
      </c>
      <c r="F90" s="24" t="inlineStr">
        <is>
          <t>SS-202</t>
        </is>
      </c>
      <c r="G90" s="25" t="n">
        <v>670</v>
      </c>
      <c r="H90" s="26">
        <f>G90*(1-Overview!$B$8)</f>
        <v/>
      </c>
      <c r="I90" s="24" t="inlineStr">
        <is>
          <t>NA</t>
        </is>
      </c>
      <c r="J90" s="23" t="inlineStr">
        <is>
          <t>Premium basin anchor set</t>
        </is>
      </c>
    </row>
    <row r="91">
      <c r="A91" s="14" t="inlineStr">
        <is>
          <t>Hardware Kits</t>
        </is>
      </c>
      <c r="B91" s="14" t="inlineStr">
        <is>
          <t>Rack Bolt Kits</t>
        </is>
      </c>
      <c r="C91" s="14" t="inlineStr">
        <is>
          <t>Rack Bolt Kit (With CP ABS Cap)</t>
        </is>
      </c>
      <c r="D91" s="27" t="inlineStr">
        <is>
          <t>BH-101</t>
        </is>
      </c>
      <c r="E91" s="27" t="inlineStr">
        <is>
          <t>16X165mm</t>
        </is>
      </c>
      <c r="F91" s="27" t="inlineStr">
        <is>
          <t>SS-202</t>
        </is>
      </c>
      <c r="G91" s="28" t="n">
        <v>490</v>
      </c>
      <c r="H91" s="26">
        <f>G91*(1-Overview!$B$8)</f>
        <v/>
      </c>
      <c r="I91" s="27" t="inlineStr">
        <is>
          <t>NA</t>
        </is>
      </c>
      <c r="J91" s="14" t="inlineStr">
        <is>
          <t>Heavy anchor with cosmetic cap</t>
        </is>
      </c>
    </row>
    <row r="92">
      <c r="A92" s="23" t="inlineStr">
        <is>
          <t>Hardware Kits</t>
        </is>
      </c>
      <c r="B92" s="23" t="inlineStr">
        <is>
          <t>Wash Basin Bolts</t>
        </is>
      </c>
      <c r="C92" s="23" t="inlineStr">
        <is>
          <t>Wash Basin Bolt Kit</t>
        </is>
      </c>
      <c r="D92" s="24" t="inlineStr">
        <is>
          <t>BH-105</t>
        </is>
      </c>
      <c r="E92" s="24" t="inlineStr">
        <is>
          <t>10X120mm</t>
        </is>
      </c>
      <c r="F92" s="24" t="inlineStr">
        <is>
          <t>SS-202</t>
        </is>
      </c>
      <c r="G92" s="25" t="n">
        <v>140</v>
      </c>
      <c r="H92" s="26">
        <f>G92*(1-Overview!$B$8)</f>
        <v/>
      </c>
      <c r="I92" s="24" t="inlineStr">
        <is>
          <t>NA</t>
        </is>
      </c>
      <c r="J92" s="23" t="inlineStr">
        <is>
          <t>Standard wash basin mounting kit</t>
        </is>
      </c>
    </row>
    <row r="93">
      <c r="A93" s="14" t="inlineStr">
        <is>
          <t>Hardware Kits</t>
        </is>
      </c>
      <c r="B93" s="14" t="inlineStr">
        <is>
          <t>Floor Mounting Kits</t>
        </is>
      </c>
      <c r="C93" s="14" t="inlineStr">
        <is>
          <t>EWC Floor Mounting Kit</t>
        </is>
      </c>
      <c r="D93" s="27" t="inlineStr">
        <is>
          <t>BH-115</t>
        </is>
      </c>
      <c r="E93" s="27" t="inlineStr">
        <is>
          <t>NA</t>
        </is>
      </c>
      <c r="F93" s="27" t="inlineStr">
        <is>
          <t>SS-202</t>
        </is>
      </c>
      <c r="G93" s="28" t="n">
        <v>49</v>
      </c>
      <c r="H93" s="26">
        <f>G93*(1-Overview!$B$8)</f>
        <v/>
      </c>
      <c r="I93" s="27" t="inlineStr">
        <is>
          <t>100 PCS</t>
        </is>
      </c>
      <c r="J93" s="14" t="inlineStr">
        <is>
          <t>Floor mounting anchor</t>
        </is>
      </c>
    </row>
    <row r="94">
      <c r="A94" s="23" t="inlineStr">
        <is>
          <t>Hardware Kits</t>
        </is>
      </c>
      <c r="B94" s="23" t="inlineStr">
        <is>
          <t>Clamp Kits</t>
        </is>
      </c>
      <c r="C94" s="23" t="inlineStr">
        <is>
          <t>Urinal Clamp Kit</t>
        </is>
      </c>
      <c r="D94" s="24" t="inlineStr">
        <is>
          <t>BH-114</t>
        </is>
      </c>
      <c r="E94" s="24" t="inlineStr">
        <is>
          <t>NA</t>
        </is>
      </c>
      <c r="F94" s="24" t="inlineStr">
        <is>
          <t>SS-202</t>
        </is>
      </c>
      <c r="G94" s="25" t="n">
        <v>140</v>
      </c>
      <c r="H94" s="26">
        <f>G94*(1-Overview!$B$8)</f>
        <v/>
      </c>
      <c r="I94" s="24" t="inlineStr">
        <is>
          <t>NA</t>
        </is>
      </c>
      <c r="J94" s="23" t="inlineStr">
        <is>
          <t>Standard urinal wall hanger clamp set</t>
        </is>
      </c>
    </row>
    <row r="95">
      <c r="A95" s="14" t="inlineStr">
        <is>
          <t>Hardware Fittings</t>
        </is>
      </c>
      <c r="B95" s="14" t="inlineStr">
        <is>
          <t>Extension Nipples</t>
        </is>
      </c>
      <c r="C95" s="14" t="inlineStr">
        <is>
          <t>Brass Extension Nipple Heavy</t>
        </is>
      </c>
      <c r="D95" s="27" t="inlineStr">
        <is>
          <t>NB-001</t>
        </is>
      </c>
      <c r="E95" s="27" t="inlineStr">
        <is>
          <t>25mm</t>
        </is>
      </c>
      <c r="F95" s="27" t="inlineStr">
        <is>
          <t>Heavy Brass</t>
        </is>
      </c>
      <c r="G95" s="28" t="n">
        <v>160</v>
      </c>
      <c r="H95" s="26">
        <f>G95*(1-Overview!$B$8)</f>
        <v/>
      </c>
      <c r="I95" s="27" t="inlineStr">
        <is>
          <t>54 pcs</t>
        </is>
      </c>
      <c r="J95" s="14" t="inlineStr">
        <is>
          <t>Chrome plated hex thread extender</t>
        </is>
      </c>
    </row>
    <row r="96">
      <c r="A96" s="23" t="inlineStr">
        <is>
          <t>Hardware Fittings</t>
        </is>
      </c>
      <c r="B96" s="23" t="inlineStr">
        <is>
          <t>Extension Nipples</t>
        </is>
      </c>
      <c r="C96" s="23" t="inlineStr">
        <is>
          <t>Brass Extension Nipple Heavy</t>
        </is>
      </c>
      <c r="D96" s="24" t="inlineStr">
        <is>
          <t>NB-002</t>
        </is>
      </c>
      <c r="E96" s="24" t="inlineStr">
        <is>
          <t>40mm</t>
        </is>
      </c>
      <c r="F96" s="24" t="inlineStr">
        <is>
          <t>Heavy Brass</t>
        </is>
      </c>
      <c r="G96" s="25" t="n">
        <v>230</v>
      </c>
      <c r="H96" s="26">
        <f>G96*(1-Overview!$B$8)</f>
        <v/>
      </c>
      <c r="I96" s="24" t="inlineStr">
        <is>
          <t>36 pcs</t>
        </is>
      </c>
      <c r="J96" s="23" t="inlineStr">
        <is>
          <t>Chrome plated hex thread extender</t>
        </is>
      </c>
    </row>
    <row r="97">
      <c r="A97" s="14" t="inlineStr">
        <is>
          <t>Hardware Fittings</t>
        </is>
      </c>
      <c r="B97" s="14" t="inlineStr">
        <is>
          <t>Extension Nipples</t>
        </is>
      </c>
      <c r="C97" s="14" t="inlineStr">
        <is>
          <t>Brass Extension Nipple Heavy</t>
        </is>
      </c>
      <c r="D97" s="27" t="inlineStr">
        <is>
          <t>NB-003</t>
        </is>
      </c>
      <c r="E97" s="27" t="inlineStr">
        <is>
          <t>50mm</t>
        </is>
      </c>
      <c r="F97" s="27" t="inlineStr">
        <is>
          <t>Heavy Brass</t>
        </is>
      </c>
      <c r="G97" s="28" t="n">
        <v>310</v>
      </c>
      <c r="H97" s="26">
        <f>G97*(1-Overview!$B$8)</f>
        <v/>
      </c>
      <c r="I97" s="27" t="inlineStr">
        <is>
          <t>24 pcs</t>
        </is>
      </c>
      <c r="J97" s="14" t="inlineStr">
        <is>
          <t>Chrome plated hex thread extender</t>
        </is>
      </c>
    </row>
    <row r="98">
      <c r="A98" s="23" t="inlineStr">
        <is>
          <t>Hardware Fittings</t>
        </is>
      </c>
      <c r="B98" s="23" t="inlineStr">
        <is>
          <t>Extension Nipples</t>
        </is>
      </c>
      <c r="C98" s="23" t="inlineStr">
        <is>
          <t>Brass Extension Nipple Heavy</t>
        </is>
      </c>
      <c r="D98" s="24" t="inlineStr">
        <is>
          <t>NB-004</t>
        </is>
      </c>
      <c r="E98" s="24" t="inlineStr">
        <is>
          <t>65mm</t>
        </is>
      </c>
      <c r="F98" s="24" t="inlineStr">
        <is>
          <t>Heavy Brass</t>
        </is>
      </c>
      <c r="G98" s="25" t="n">
        <v>380</v>
      </c>
      <c r="H98" s="26">
        <f>G98*(1-Overview!$B$8)</f>
        <v/>
      </c>
      <c r="I98" s="24" t="inlineStr">
        <is>
          <t>18 pcs</t>
        </is>
      </c>
      <c r="J98" s="23" t="inlineStr">
        <is>
          <t>Chrome plated hex thread extender</t>
        </is>
      </c>
    </row>
    <row r="99">
      <c r="A99" s="14" t="inlineStr">
        <is>
          <t>Hardware Fittings</t>
        </is>
      </c>
      <c r="B99" s="14" t="inlineStr">
        <is>
          <t>Extension Nipples</t>
        </is>
      </c>
      <c r="C99" s="14" t="inlineStr">
        <is>
          <t>Brass Extension Nipple Heavy</t>
        </is>
      </c>
      <c r="D99" s="27" t="inlineStr">
        <is>
          <t>NB-005</t>
        </is>
      </c>
      <c r="E99" s="27" t="inlineStr">
        <is>
          <t>80mm</t>
        </is>
      </c>
      <c r="F99" s="27" t="inlineStr">
        <is>
          <t>Heavy Brass</t>
        </is>
      </c>
      <c r="G99" s="28" t="n">
        <v>460</v>
      </c>
      <c r="H99" s="26">
        <f>G99*(1-Overview!$B$8)</f>
        <v/>
      </c>
      <c r="I99" s="27" t="inlineStr">
        <is>
          <t>16 pcs</t>
        </is>
      </c>
      <c r="J99" s="14" t="inlineStr">
        <is>
          <t>Chrome plated hex thread extender</t>
        </is>
      </c>
    </row>
    <row r="100">
      <c r="A100" s="23" t="inlineStr">
        <is>
          <t>Hardware Fittings</t>
        </is>
      </c>
      <c r="B100" s="23" t="inlineStr">
        <is>
          <t>Extension Nipples</t>
        </is>
      </c>
      <c r="C100" s="23" t="inlineStr">
        <is>
          <t>Brass Extension Nipple Heavy</t>
        </is>
      </c>
      <c r="D100" s="24" t="inlineStr">
        <is>
          <t>NB-006</t>
        </is>
      </c>
      <c r="E100" s="24" t="inlineStr">
        <is>
          <t>100mm</t>
        </is>
      </c>
      <c r="F100" s="24" t="inlineStr">
        <is>
          <t>Heavy Brass</t>
        </is>
      </c>
      <c r="G100" s="25" t="n">
        <v>610</v>
      </c>
      <c r="H100" s="26">
        <f>G100*(1-Overview!$B$8)</f>
        <v/>
      </c>
      <c r="I100" s="24" t="inlineStr">
        <is>
          <t>12 pcs</t>
        </is>
      </c>
      <c r="J100" s="23" t="inlineStr">
        <is>
          <t>Chrome plated hex thread extender</t>
        </is>
      </c>
    </row>
    <row r="101">
      <c r="A101" s="14" t="inlineStr">
        <is>
          <t>Hardware Fittings</t>
        </is>
      </c>
      <c r="B101" s="14" t="inlineStr">
        <is>
          <t>Hex Nipples</t>
        </is>
      </c>
      <c r="C101" s="14" t="inlineStr">
        <is>
          <t>Brass Hex Nipple</t>
        </is>
      </c>
      <c r="D101" s="27" t="inlineStr">
        <is>
          <t>SBI-001</t>
        </is>
      </c>
      <c r="E101" s="27" t="inlineStr">
        <is>
          <t>15mm</t>
        </is>
      </c>
      <c r="F101" s="27" t="inlineStr">
        <is>
          <t>Heavy Brass</t>
        </is>
      </c>
      <c r="G101" s="28" t="n">
        <v>160</v>
      </c>
      <c r="H101" s="26">
        <f>G101*(1-Overview!$B$8)</f>
        <v/>
      </c>
      <c r="I101" s="27" t="inlineStr">
        <is>
          <t>35 PCS</t>
        </is>
      </c>
      <c r="J101" s="14" t="inlineStr">
        <is>
          <t>Standard threaded coupler</t>
        </is>
      </c>
    </row>
    <row r="102">
      <c r="A102" s="23" t="inlineStr">
        <is>
          <t>Hardware Fittings</t>
        </is>
      </c>
      <c r="B102" s="23" t="inlineStr">
        <is>
          <t>Mixer Parts</t>
        </is>
      </c>
      <c r="C102" s="23" t="inlineStr">
        <is>
          <t>Brass Wall Mixer Legs (Pair)</t>
        </is>
      </c>
      <c r="D102" s="24" t="inlineStr">
        <is>
          <t>NBSP-101</t>
        </is>
      </c>
      <c r="E102" s="24" t="inlineStr">
        <is>
          <t>N/A</t>
        </is>
      </c>
      <c r="F102" s="24" t="inlineStr">
        <is>
          <t>Heavy Brass</t>
        </is>
      </c>
      <c r="G102" s="25" t="n">
        <v>640</v>
      </c>
      <c r="H102" s="26">
        <f>G102*(1-Overview!$B$8)</f>
        <v/>
      </c>
      <c r="I102" s="24" t="inlineStr">
        <is>
          <t>NA</t>
        </is>
      </c>
      <c r="J102" s="23" t="inlineStr">
        <is>
          <t>Pairs offset connection set</t>
        </is>
      </c>
    </row>
    <row r="103">
      <c r="A103" s="14" t="inlineStr">
        <is>
          <t>Valves</t>
        </is>
      </c>
      <c r="B103" s="14" t="inlineStr">
        <is>
          <t>Angle Valves</t>
        </is>
      </c>
      <c r="C103" s="14" t="inlineStr">
        <is>
          <t>CP Angle Valve Turbo</t>
        </is>
      </c>
      <c r="D103" s="27" t="inlineStr">
        <is>
          <t>ANB-001</t>
        </is>
      </c>
      <c r="E103" s="27" t="inlineStr">
        <is>
          <t>15mm</t>
        </is>
      </c>
      <c r="F103" s="27" t="inlineStr">
        <is>
          <t>Brass/CP</t>
        </is>
      </c>
      <c r="G103" s="28" t="n">
        <v>560</v>
      </c>
      <c r="H103" s="26">
        <f>G103*(1-Overview!$B$8)</f>
        <v/>
      </c>
      <c r="I103" s="27" t="inlineStr">
        <is>
          <t>250 PCS</t>
        </is>
      </c>
      <c r="J103" s="14" t="inlineStr">
        <is>
          <t>Turbo single piece packaging</t>
        </is>
      </c>
    </row>
    <row r="104">
      <c r="A104" s="23" t="inlineStr">
        <is>
          <t>Valves</t>
        </is>
      </c>
      <c r="B104" s="23" t="inlineStr">
        <is>
          <t>Bib Cocks</t>
        </is>
      </c>
      <c r="C104" s="23" t="inlineStr">
        <is>
          <t>Forged Brass Nozzle Bib Cock</t>
        </is>
      </c>
      <c r="D104" s="24" t="inlineStr">
        <is>
          <t>ANB-501</t>
        </is>
      </c>
      <c r="E104" s="24" t="inlineStr">
        <is>
          <t>15mm</t>
        </is>
      </c>
      <c r="F104" s="24" t="inlineStr">
        <is>
          <t>Forged Brass</t>
        </is>
      </c>
      <c r="G104" s="25" t="n">
        <v>580</v>
      </c>
      <c r="H104" s="26">
        <f>G104*(1-Overview!$B$8)</f>
        <v/>
      </c>
      <c r="I104" s="24" t="inlineStr">
        <is>
          <t>2 PCS</t>
        </is>
      </c>
      <c r="J104" s="23" t="inlineStr">
        <is>
          <t>Premium heavy duty garden/washing faucet</t>
        </is>
      </c>
    </row>
    <row r="105">
      <c r="A105" s="14" t="inlineStr">
        <is>
          <t>Pipes</t>
        </is>
      </c>
      <c r="B105" s="14" t="inlineStr">
        <is>
          <t>Hose Pipes</t>
        </is>
      </c>
      <c r="C105" s="14" t="inlineStr">
        <is>
          <t>SS Hose Connection Pipe (With SS 304 Nut)</t>
        </is>
      </c>
      <c r="D105" s="27" t="inlineStr">
        <is>
          <t>AP-ACC-08</t>
        </is>
      </c>
      <c r="E105" s="27" t="inlineStr">
        <is>
          <t>15x300mm</t>
        </is>
      </c>
      <c r="F105" s="27" t="inlineStr">
        <is>
          <t>SS-304 Braided</t>
        </is>
      </c>
      <c r="G105" s="28" t="n">
        <v>340</v>
      </c>
      <c r="H105" s="26">
        <f>G105*(1-Overview!$B$8)</f>
        <v/>
      </c>
      <c r="I105" s="27" t="inlineStr">
        <is>
          <t>150 pair</t>
        </is>
      </c>
      <c r="J105" s="14" t="inlineStr">
        <is>
          <t>Pairs connector hoses</t>
        </is>
      </c>
    </row>
    <row r="106">
      <c r="A106" s="23" t="inlineStr">
        <is>
          <t>Pipes</t>
        </is>
      </c>
      <c r="B106" s="23" t="inlineStr">
        <is>
          <t>Hose Pipes</t>
        </is>
      </c>
      <c r="C106" s="23" t="inlineStr">
        <is>
          <t>SS Hose Connection Pipe (With SS 304 Nut)</t>
        </is>
      </c>
      <c r="D106" s="24" t="inlineStr">
        <is>
          <t>AP-ACC-03</t>
        </is>
      </c>
      <c r="E106" s="24" t="inlineStr">
        <is>
          <t>15x450mm</t>
        </is>
      </c>
      <c r="F106" s="24" t="inlineStr">
        <is>
          <t>SS-304 Braided</t>
        </is>
      </c>
      <c r="G106" s="25" t="n">
        <v>380</v>
      </c>
      <c r="H106" s="26">
        <f>G106*(1-Overview!$B$8)</f>
        <v/>
      </c>
      <c r="I106" s="24" t="inlineStr">
        <is>
          <t>100 pair</t>
        </is>
      </c>
      <c r="J106" s="23" t="inlineStr">
        <is>
          <t>Pairs connector hoses</t>
        </is>
      </c>
    </row>
    <row r="107">
      <c r="A107" s="14" t="inlineStr">
        <is>
          <t>Pipes</t>
        </is>
      </c>
      <c r="B107" s="14" t="inlineStr">
        <is>
          <t>Hose Pipes</t>
        </is>
      </c>
      <c r="C107" s="14" t="inlineStr">
        <is>
          <t>SS Hose Connection Pipe (With SS 304 Nut)</t>
        </is>
      </c>
      <c r="D107" s="27" t="inlineStr">
        <is>
          <t>AP-ACC-04</t>
        </is>
      </c>
      <c r="E107" s="27" t="inlineStr">
        <is>
          <t>15x600mm</t>
        </is>
      </c>
      <c r="F107" s="27" t="inlineStr">
        <is>
          <t>SS-304 Braided</t>
        </is>
      </c>
      <c r="G107" s="28" t="n">
        <v>440</v>
      </c>
      <c r="H107" s="26">
        <f>G107*(1-Overview!$B$8)</f>
        <v/>
      </c>
      <c r="I107" s="27" t="inlineStr">
        <is>
          <t>100 pair</t>
        </is>
      </c>
      <c r="J107" s="14" t="inlineStr">
        <is>
          <t>Pairs connector hoses</t>
        </is>
      </c>
    </row>
    <row r="108">
      <c r="A108" s="23" t="inlineStr">
        <is>
          <t>Pipes</t>
        </is>
      </c>
      <c r="B108" s="23" t="inlineStr">
        <is>
          <t>Hose Pipes</t>
        </is>
      </c>
      <c r="C108" s="23" t="inlineStr">
        <is>
          <t>SS Hose Connection Pipe (With SS 304 Nut)</t>
        </is>
      </c>
      <c r="D108" s="24" t="inlineStr">
        <is>
          <t>AP-ACC-07</t>
        </is>
      </c>
      <c r="E108" s="24" t="inlineStr">
        <is>
          <t>15x900mm</t>
        </is>
      </c>
      <c r="F108" s="24" t="inlineStr">
        <is>
          <t>SS-304 Braided</t>
        </is>
      </c>
      <c r="G108" s="25" t="n">
        <v>520</v>
      </c>
      <c r="H108" s="26">
        <f>G108*(1-Overview!$B$8)</f>
        <v/>
      </c>
      <c r="I108" s="24" t="inlineStr">
        <is>
          <t>50 pair</t>
        </is>
      </c>
      <c r="J108" s="23" t="inlineStr">
        <is>
          <t>Pairs connector hoses</t>
        </is>
      </c>
    </row>
    <row r="109">
      <c r="C109" s="29" t="inlineStr">
        <is>
          <t>Total Summary / Averages</t>
        </is>
      </c>
      <c r="D109" s="30">
        <f>COUNTA(D4:D108)&amp;" Items"</f>
        <v/>
      </c>
      <c r="G109" s="31">
        <f>AVERAGE(G4:G108)</f>
        <v/>
      </c>
      <c r="H109" s="32">
        <f>AVERAGE(H4:H108)</f>
        <v/>
      </c>
    </row>
  </sheetData>
  <autoFilter ref="A3:J108"/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3" customWidth="1" min="3" max="3"/>
    <col width="21" customWidth="1" min="4" max="4"/>
    <col width="28" customWidth="1" min="5" max="5"/>
    <col width="19" customWidth="1" min="6" max="6"/>
    <col width="23" customWidth="1" min="7" max="7"/>
    <col width="18" customWidth="1" min="8" max="8"/>
    <col width="17" customWidth="1" min="9" max="9"/>
    <col width="90" customWidth="1" min="10" max="10"/>
  </cols>
  <sheetData>
    <row r="1">
      <c r="A1" s="20" t="inlineStr">
        <is>
          <t>AQUAI - ACCESSORIES &amp; SINKS COMPLETE PRODUCTS LIST (VOL 8.2)</t>
        </is>
      </c>
      <c r="H1" s="21" t="inlineStr">
        <is>
          <t>← Return to Overview</t>
        </is>
      </c>
    </row>
    <row r="2"/>
    <row r="3">
      <c r="A3" s="22" t="inlineStr">
        <is>
          <t>Category</t>
        </is>
      </c>
      <c r="B3" s="22" t="inlineStr">
        <is>
          <t>Series / Finish</t>
        </is>
      </c>
      <c r="C3" s="22" t="inlineStr">
        <is>
          <t>Product Name</t>
        </is>
      </c>
      <c r="D3" s="22" t="inlineStr">
        <is>
          <t>Code No.</t>
        </is>
      </c>
      <c r="E3" s="22" t="inlineStr">
        <is>
          <t>Size / Dimensions</t>
        </is>
      </c>
      <c r="F3" s="22" t="inlineStr">
        <is>
          <t>Material</t>
        </is>
      </c>
      <c r="G3" s="22" t="inlineStr">
        <is>
          <t>Dealer Price (D.P.)</t>
        </is>
      </c>
      <c r="H3" s="22" t="inlineStr">
        <is>
          <t>Your Net Price</t>
        </is>
      </c>
      <c r="I3" s="22" t="inlineStr">
        <is>
          <t>Std / Box Pkg</t>
        </is>
      </c>
      <c r="J3" s="22" t="inlineStr">
        <is>
          <t>Key Features / Notes</t>
        </is>
      </c>
    </row>
    <row r="4">
      <c r="A4" s="23" t="inlineStr">
        <is>
          <t>Accessories</t>
        </is>
      </c>
      <c r="B4" s="23" t="inlineStr">
        <is>
          <t>Daizy Series</t>
        </is>
      </c>
      <c r="C4" s="23" t="inlineStr">
        <is>
          <t>Towel Rack (SS 304)</t>
        </is>
      </c>
      <c r="D4" s="24" t="inlineStr">
        <is>
          <t>DC-201-24</t>
        </is>
      </c>
      <c r="E4" s="24" t="inlineStr">
        <is>
          <t>600mm</t>
        </is>
      </c>
      <c r="F4" s="24" t="inlineStr">
        <is>
          <t>SS-304</t>
        </is>
      </c>
      <c r="G4" s="25" t="n">
        <v>3230</v>
      </c>
      <c r="H4" s="26">
        <f>G4*(1-Overview!$B$8)</f>
        <v/>
      </c>
      <c r="I4" s="24" t="inlineStr">
        <is>
          <t>NA</t>
        </is>
      </c>
      <c r="J4" s="23" t="inlineStr">
        <is>
          <t>Double rod rack</t>
        </is>
      </c>
    </row>
    <row r="5">
      <c r="A5" s="14" t="inlineStr">
        <is>
          <t>Accessories</t>
        </is>
      </c>
      <c r="B5" s="14" t="inlineStr">
        <is>
          <t>Daizy Series</t>
        </is>
      </c>
      <c r="C5" s="14" t="inlineStr">
        <is>
          <t>Towel Rod (SS 304)</t>
        </is>
      </c>
      <c r="D5" s="27" t="inlineStr">
        <is>
          <t>DC-202-18</t>
        </is>
      </c>
      <c r="E5" s="27" t="inlineStr">
        <is>
          <t>450mm</t>
        </is>
      </c>
      <c r="F5" s="27" t="inlineStr">
        <is>
          <t>SS-304</t>
        </is>
      </c>
      <c r="G5" s="28" t="n">
        <v>1110</v>
      </c>
      <c r="H5" s="26">
        <f>G5*(1-Overview!$B$8)</f>
        <v/>
      </c>
      <c r="I5" s="27" t="inlineStr">
        <is>
          <t>NA</t>
        </is>
      </c>
      <c r="J5" s="14" t="inlineStr">
        <is>
          <t>Single towel rod</t>
        </is>
      </c>
    </row>
    <row r="6">
      <c r="A6" s="23" t="inlineStr">
        <is>
          <t>Accessories</t>
        </is>
      </c>
      <c r="B6" s="23" t="inlineStr">
        <is>
          <t>Daizy Series</t>
        </is>
      </c>
      <c r="C6" s="23" t="inlineStr">
        <is>
          <t>Towel Rod (SS 304)</t>
        </is>
      </c>
      <c r="D6" s="24" t="inlineStr">
        <is>
          <t>DC-202-24</t>
        </is>
      </c>
      <c r="E6" s="24" t="inlineStr">
        <is>
          <t>600mm</t>
        </is>
      </c>
      <c r="F6" s="24" t="inlineStr">
        <is>
          <t>SS-304</t>
        </is>
      </c>
      <c r="G6" s="25" t="n">
        <v>1170</v>
      </c>
      <c r="H6" s="26">
        <f>G6*(1-Overview!$B$8)</f>
        <v/>
      </c>
      <c r="I6" s="24" t="inlineStr">
        <is>
          <t>NA</t>
        </is>
      </c>
      <c r="J6" s="23" t="inlineStr">
        <is>
          <t>Single towel rod</t>
        </is>
      </c>
    </row>
    <row r="7">
      <c r="A7" s="14" t="inlineStr">
        <is>
          <t>Accessories</t>
        </is>
      </c>
      <c r="B7" s="14" t="inlineStr">
        <is>
          <t>Daizy Series</t>
        </is>
      </c>
      <c r="C7" s="14" t="inlineStr">
        <is>
          <t>Robe Hook (SS 304)</t>
        </is>
      </c>
      <c r="D7" s="27" t="inlineStr">
        <is>
          <t>DC-203</t>
        </is>
      </c>
      <c r="E7" s="27" t="inlineStr">
        <is>
          <t>Standard</t>
        </is>
      </c>
      <c r="F7" s="27" t="inlineStr">
        <is>
          <t>SS-304</t>
        </is>
      </c>
      <c r="G7" s="28" t="n">
        <v>350</v>
      </c>
      <c r="H7" s="26">
        <f>G7*(1-Overview!$B$8)</f>
        <v/>
      </c>
      <c r="I7" s="27" t="inlineStr">
        <is>
          <t>NA</t>
        </is>
      </c>
      <c r="J7" s="14" t="inlineStr">
        <is>
          <t>Double robe peg</t>
        </is>
      </c>
    </row>
    <row r="8">
      <c r="A8" s="23" t="inlineStr">
        <is>
          <t>Accessories</t>
        </is>
      </c>
      <c r="B8" s="23" t="inlineStr">
        <is>
          <t>Daizy Series</t>
        </is>
      </c>
      <c r="C8" s="23" t="inlineStr">
        <is>
          <t>Towel Ring (SS 304)</t>
        </is>
      </c>
      <c r="D8" s="24" t="inlineStr">
        <is>
          <t>DC-206-F</t>
        </is>
      </c>
      <c r="E8" s="24" t="inlineStr">
        <is>
          <t>Standard</t>
        </is>
      </c>
      <c r="F8" s="24" t="inlineStr">
        <is>
          <t>SS-304</t>
        </is>
      </c>
      <c r="G8" s="25" t="n">
        <v>1000</v>
      </c>
      <c r="H8" s="26">
        <f>G8*(1-Overview!$B$8)</f>
        <v/>
      </c>
      <c r="I8" s="24" t="inlineStr">
        <is>
          <t>NA</t>
        </is>
      </c>
      <c r="J8" s="23" t="inlineStr">
        <is>
          <t>Premium wall ring</t>
        </is>
      </c>
    </row>
    <row r="9">
      <c r="A9" s="14" t="inlineStr">
        <is>
          <t>Accessories</t>
        </is>
      </c>
      <c r="B9" s="14" t="inlineStr">
        <is>
          <t>Daizy Series</t>
        </is>
      </c>
      <c r="C9" s="14" t="inlineStr">
        <is>
          <t>Soap Dish (SS 304)</t>
        </is>
      </c>
      <c r="D9" s="27" t="inlineStr">
        <is>
          <t>DC-208</t>
        </is>
      </c>
      <c r="E9" s="27" t="inlineStr">
        <is>
          <t>Standard</t>
        </is>
      </c>
      <c r="F9" s="27" t="inlineStr">
        <is>
          <t>SS-304</t>
        </is>
      </c>
      <c r="G9" s="28" t="n">
        <v>660</v>
      </c>
      <c r="H9" s="26">
        <f>G9*(1-Overview!$B$8)</f>
        <v/>
      </c>
      <c r="I9" s="27" t="inlineStr">
        <is>
          <t>NA</t>
        </is>
      </c>
      <c r="J9" s="14" t="inlineStr">
        <is>
          <t>Metal slotted dish</t>
        </is>
      </c>
    </row>
    <row r="10">
      <c r="A10" s="23" t="inlineStr">
        <is>
          <t>Accessories</t>
        </is>
      </c>
      <c r="B10" s="23" t="inlineStr">
        <is>
          <t>Daizy Series</t>
        </is>
      </c>
      <c r="C10" s="23" t="inlineStr">
        <is>
          <t>Toilet Paper Holder (SS 304)</t>
        </is>
      </c>
      <c r="D10" s="24" t="inlineStr">
        <is>
          <t>DC-209</t>
        </is>
      </c>
      <c r="E10" s="24" t="inlineStr">
        <is>
          <t>Standard</t>
        </is>
      </c>
      <c r="F10" s="24" t="inlineStr">
        <is>
          <t>SS-304</t>
        </is>
      </c>
      <c r="G10" s="25" t="n">
        <v>1360</v>
      </c>
      <c r="H10" s="26">
        <f>G10*(1-Overview!$B$8)</f>
        <v/>
      </c>
      <c r="I10" s="24" t="inlineStr">
        <is>
          <t>NA</t>
        </is>
      </c>
      <c r="J10" s="23" t="inlineStr">
        <is>
          <t>Wall-mounted holder with flap cover</t>
        </is>
      </c>
    </row>
    <row r="11">
      <c r="A11" s="14" t="inlineStr">
        <is>
          <t>Accessories</t>
        </is>
      </c>
      <c r="B11" s="14" t="inlineStr">
        <is>
          <t>Daizy Series</t>
        </is>
      </c>
      <c r="C11" s="14" t="inlineStr">
        <is>
          <t>Glass Liquid Soap Dispenser (SS 304)</t>
        </is>
      </c>
      <c r="D11" s="27" t="inlineStr">
        <is>
          <t>DC-210</t>
        </is>
      </c>
      <c r="E11" s="27" t="inlineStr">
        <is>
          <t>Standard</t>
        </is>
      </c>
      <c r="F11" s="27" t="inlineStr">
        <is>
          <t>SS-304/Glass</t>
        </is>
      </c>
      <c r="G11" s="28" t="n">
        <v>1010</v>
      </c>
      <c r="H11" s="26">
        <f>G11*(1-Overview!$B$8)</f>
        <v/>
      </c>
      <c r="I11" s="27" t="inlineStr">
        <is>
          <t>NA</t>
        </is>
      </c>
      <c r="J11" s="14" t="inlineStr">
        <is>
          <t>Frosted glass container</t>
        </is>
      </c>
    </row>
    <row r="12">
      <c r="A12" s="23" t="inlineStr">
        <is>
          <t>Accessories</t>
        </is>
      </c>
      <c r="B12" s="23" t="inlineStr">
        <is>
          <t>Daizy Series</t>
        </is>
      </c>
      <c r="C12" s="23" t="inlineStr">
        <is>
          <t>Glass Tumbler Holder (SS 304)</t>
        </is>
      </c>
      <c r="D12" s="24" t="inlineStr">
        <is>
          <t>DC-211</t>
        </is>
      </c>
      <c r="E12" s="24" t="inlineStr">
        <is>
          <t>Standard</t>
        </is>
      </c>
      <c r="F12" s="24" t="inlineStr">
        <is>
          <t>SS-304/Glass</t>
        </is>
      </c>
      <c r="G12" s="25" t="n">
        <v>930</v>
      </c>
      <c r="H12" s="26">
        <f>G12*(1-Overview!$B$8)</f>
        <v/>
      </c>
      <c r="I12" s="24" t="inlineStr">
        <is>
          <t>NA</t>
        </is>
      </c>
      <c r="J12" s="23" t="inlineStr">
        <is>
          <t>Frosted glass tumbler</t>
        </is>
      </c>
    </row>
    <row r="13">
      <c r="A13" s="14" t="inlineStr">
        <is>
          <t>Accessories</t>
        </is>
      </c>
      <c r="B13" s="14" t="inlineStr">
        <is>
          <t>Daizy Series</t>
        </is>
      </c>
      <c r="C13" s="14" t="inlineStr">
        <is>
          <t>Glass Soap Dish (SS 304)</t>
        </is>
      </c>
      <c r="D13" s="27" t="inlineStr">
        <is>
          <t>DC-212</t>
        </is>
      </c>
      <c r="E13" s="27" t="inlineStr">
        <is>
          <t>Standard</t>
        </is>
      </c>
      <c r="F13" s="27" t="inlineStr">
        <is>
          <t>SS-304/Glass</t>
        </is>
      </c>
      <c r="G13" s="28" t="n">
        <v>930</v>
      </c>
      <c r="H13" s="26">
        <f>G13*(1-Overview!$B$8)</f>
        <v/>
      </c>
      <c r="I13" s="27" t="inlineStr">
        <is>
          <t>NA</t>
        </is>
      </c>
      <c r="J13" s="14" t="inlineStr">
        <is>
          <t>Frosted glass soap plate</t>
        </is>
      </c>
    </row>
    <row r="14">
      <c r="A14" s="23" t="inlineStr">
        <is>
          <t>Accessories</t>
        </is>
      </c>
      <c r="B14" s="23" t="inlineStr">
        <is>
          <t>Daizy Series</t>
        </is>
      </c>
      <c r="C14" s="23" t="inlineStr">
        <is>
          <t>SS Grab Bar (CP Premium)</t>
        </is>
      </c>
      <c r="D14" s="24" t="inlineStr">
        <is>
          <t>BH-127-12</t>
        </is>
      </c>
      <c r="E14" s="24" t="inlineStr">
        <is>
          <t>300mm</t>
        </is>
      </c>
      <c r="F14" s="24" t="inlineStr">
        <is>
          <t>SS-202</t>
        </is>
      </c>
      <c r="G14" s="25" t="n">
        <v>820</v>
      </c>
      <c r="H14" s="26">
        <f>G14*(1-Overview!$B$8)</f>
        <v/>
      </c>
      <c r="I14" s="24" t="inlineStr">
        <is>
          <t>NA</t>
        </is>
      </c>
      <c r="J14" s="23" t="inlineStr">
        <is>
          <t>Anti-slip wall safety handle</t>
        </is>
      </c>
    </row>
    <row r="15">
      <c r="A15" s="14" t="inlineStr">
        <is>
          <t>Accessories</t>
        </is>
      </c>
      <c r="B15" s="14" t="inlineStr">
        <is>
          <t>Daizy Series</t>
        </is>
      </c>
      <c r="C15" s="14" t="inlineStr">
        <is>
          <t>SS Grab Bar (CP Premium)</t>
        </is>
      </c>
      <c r="D15" s="27" t="inlineStr">
        <is>
          <t>BH-127-24</t>
        </is>
      </c>
      <c r="E15" s="27" t="inlineStr">
        <is>
          <t>600mm</t>
        </is>
      </c>
      <c r="F15" s="27" t="inlineStr">
        <is>
          <t>SS-202</t>
        </is>
      </c>
      <c r="G15" s="28" t="n">
        <v>1640</v>
      </c>
      <c r="H15" s="26">
        <f>G15*(1-Overview!$B$8)</f>
        <v/>
      </c>
      <c r="I15" s="27" t="inlineStr">
        <is>
          <t>NA</t>
        </is>
      </c>
      <c r="J15" s="14" t="inlineStr">
        <is>
          <t>Anti-slip wall safety handle</t>
        </is>
      </c>
    </row>
    <row r="16">
      <c r="A16" s="23" t="inlineStr">
        <is>
          <t>Accessories</t>
        </is>
      </c>
      <c r="B16" s="23" t="inlineStr">
        <is>
          <t>Elite Series - Gold Finish</t>
        </is>
      </c>
      <c r="C16" s="23" t="inlineStr">
        <is>
          <t>Towel Rack (SS 304)</t>
        </is>
      </c>
      <c r="D16" s="24" t="inlineStr">
        <is>
          <t>EGD-1601-24</t>
        </is>
      </c>
      <c r="E16" s="24" t="inlineStr">
        <is>
          <t>600mm</t>
        </is>
      </c>
      <c r="F16" s="24" t="inlineStr">
        <is>
          <t>SS-304</t>
        </is>
      </c>
      <c r="G16" s="25" t="n">
        <v>5480</v>
      </c>
      <c r="H16" s="26">
        <f>G16*(1-Overview!$B$8)</f>
        <v/>
      </c>
      <c r="I16" s="24" t="inlineStr">
        <is>
          <t>NA</t>
        </is>
      </c>
      <c r="J16" s="23" t="inlineStr">
        <is>
          <t>Gold plated luxury rack</t>
        </is>
      </c>
    </row>
    <row r="17">
      <c r="A17" s="14" t="inlineStr">
        <is>
          <t>Accessories</t>
        </is>
      </c>
      <c r="B17" s="14" t="inlineStr">
        <is>
          <t>Elite Series - Gold Finish</t>
        </is>
      </c>
      <c r="C17" s="14" t="inlineStr">
        <is>
          <t>Towel Rod (SS 304)</t>
        </is>
      </c>
      <c r="D17" s="27" t="inlineStr">
        <is>
          <t>EGD-1602-18</t>
        </is>
      </c>
      <c r="E17" s="27" t="inlineStr">
        <is>
          <t>450mm</t>
        </is>
      </c>
      <c r="F17" s="27" t="inlineStr">
        <is>
          <t>SS-304</t>
        </is>
      </c>
      <c r="G17" s="28" t="n">
        <v>1790</v>
      </c>
      <c r="H17" s="26">
        <f>G17*(1-Overview!$B$8)</f>
        <v/>
      </c>
      <c r="I17" s="27" t="inlineStr">
        <is>
          <t>NA</t>
        </is>
      </c>
      <c r="J17" s="14" t="inlineStr">
        <is>
          <t>Gold plated single rod</t>
        </is>
      </c>
    </row>
    <row r="18">
      <c r="A18" s="23" t="inlineStr">
        <is>
          <t>Accessories</t>
        </is>
      </c>
      <c r="B18" s="23" t="inlineStr">
        <is>
          <t>Elite Series - Gold Finish</t>
        </is>
      </c>
      <c r="C18" s="23" t="inlineStr">
        <is>
          <t>Towel Rod (SS 304)</t>
        </is>
      </c>
      <c r="D18" s="24" t="inlineStr">
        <is>
          <t>EGD-1602-24</t>
        </is>
      </c>
      <c r="E18" s="24" t="inlineStr">
        <is>
          <t>600mm</t>
        </is>
      </c>
      <c r="F18" s="24" t="inlineStr">
        <is>
          <t>SS-304</t>
        </is>
      </c>
      <c r="G18" s="25" t="n">
        <v>1850</v>
      </c>
      <c r="H18" s="26">
        <f>G18*(1-Overview!$B$8)</f>
        <v/>
      </c>
      <c r="I18" s="24" t="inlineStr">
        <is>
          <t>NA</t>
        </is>
      </c>
      <c r="J18" s="23" t="inlineStr">
        <is>
          <t>Gold plated single rod</t>
        </is>
      </c>
    </row>
    <row r="19">
      <c r="A19" s="14" t="inlineStr">
        <is>
          <t>Accessories</t>
        </is>
      </c>
      <c r="B19" s="14" t="inlineStr">
        <is>
          <t>Elite Series - Gold Finish</t>
        </is>
      </c>
      <c r="C19" s="14" t="inlineStr">
        <is>
          <t>Robe Hook (SS 304)</t>
        </is>
      </c>
      <c r="D19" s="27" t="inlineStr">
        <is>
          <t>EGD-1603</t>
        </is>
      </c>
      <c r="E19" s="27" t="inlineStr">
        <is>
          <t>Standard</t>
        </is>
      </c>
      <c r="F19" s="27" t="inlineStr">
        <is>
          <t>SS-304</t>
        </is>
      </c>
      <c r="G19" s="28" t="n">
        <v>880</v>
      </c>
      <c r="H19" s="26">
        <f>G19*(1-Overview!$B$8)</f>
        <v/>
      </c>
      <c r="I19" s="27" t="inlineStr">
        <is>
          <t>NA</t>
        </is>
      </c>
      <c r="J19" s="14" t="inlineStr">
        <is>
          <t>Gold plated robe peg</t>
        </is>
      </c>
    </row>
    <row r="20">
      <c r="A20" s="23" t="inlineStr">
        <is>
          <t>Accessories</t>
        </is>
      </c>
      <c r="B20" s="23" t="inlineStr">
        <is>
          <t>Elite Series - Gold Finish</t>
        </is>
      </c>
      <c r="C20" s="23" t="inlineStr">
        <is>
          <t>Glass Tumbler Holder (SS 304)</t>
        </is>
      </c>
      <c r="D20" s="24" t="inlineStr">
        <is>
          <t>EGD-1605</t>
        </is>
      </c>
      <c r="E20" s="24" t="inlineStr">
        <is>
          <t>Standard</t>
        </is>
      </c>
      <c r="F20" s="24" t="inlineStr">
        <is>
          <t>SS-304/Glass</t>
        </is>
      </c>
      <c r="G20" s="25" t="n">
        <v>1440</v>
      </c>
      <c r="H20" s="26">
        <f>G20*(1-Overview!$B$8)</f>
        <v/>
      </c>
      <c r="I20" s="24" t="inlineStr">
        <is>
          <t>NA</t>
        </is>
      </c>
      <c r="J20" s="23" t="inlineStr">
        <is>
          <t>Gold plated tumbler container</t>
        </is>
      </c>
    </row>
    <row r="21">
      <c r="A21" s="14" t="inlineStr">
        <is>
          <t>Accessories</t>
        </is>
      </c>
      <c r="B21" s="14" t="inlineStr">
        <is>
          <t>Elite Series - Gold Finish</t>
        </is>
      </c>
      <c r="C21" s="14" t="inlineStr">
        <is>
          <t>Towel Ring (SS 304)</t>
        </is>
      </c>
      <c r="D21" s="27" t="inlineStr">
        <is>
          <t>EGD-1606</t>
        </is>
      </c>
      <c r="E21" s="27" t="inlineStr">
        <is>
          <t>Standard</t>
        </is>
      </c>
      <c r="F21" s="27" t="inlineStr">
        <is>
          <t>SS-304</t>
        </is>
      </c>
      <c r="G21" s="28" t="n">
        <v>1440</v>
      </c>
      <c r="H21" s="26">
        <f>G21*(1-Overview!$B$8)</f>
        <v/>
      </c>
      <c r="I21" s="27" t="inlineStr">
        <is>
          <t>NA</t>
        </is>
      </c>
      <c r="J21" s="14" t="inlineStr">
        <is>
          <t>Gold plated wall ring</t>
        </is>
      </c>
    </row>
    <row r="22">
      <c r="A22" s="23" t="inlineStr">
        <is>
          <t>Accessories</t>
        </is>
      </c>
      <c r="B22" s="23" t="inlineStr">
        <is>
          <t>Elite Series - Gold Finish</t>
        </is>
      </c>
      <c r="C22" s="23" t="inlineStr">
        <is>
          <t>Toilet Paper Holder (SS 304)</t>
        </is>
      </c>
      <c r="D22" s="24" t="inlineStr">
        <is>
          <t>EGD-1609</t>
        </is>
      </c>
      <c r="E22" s="24" t="inlineStr">
        <is>
          <t>Standard</t>
        </is>
      </c>
      <c r="F22" s="24" t="inlineStr">
        <is>
          <t>SS-304</t>
        </is>
      </c>
      <c r="G22" s="25" t="n">
        <v>2080</v>
      </c>
      <c r="H22" s="26">
        <f>G22*(1-Overview!$B$8)</f>
        <v/>
      </c>
      <c r="I22" s="24" t="inlineStr">
        <is>
          <t>NA</t>
        </is>
      </c>
      <c r="J22" s="23" t="inlineStr">
        <is>
          <t>Gold plated toilet paper stand with cover</t>
        </is>
      </c>
    </row>
    <row r="23">
      <c r="A23" s="14" t="inlineStr">
        <is>
          <t>Accessories</t>
        </is>
      </c>
      <c r="B23" s="14" t="inlineStr">
        <is>
          <t>Elite Series - Gold Finish</t>
        </is>
      </c>
      <c r="C23" s="14" t="inlineStr">
        <is>
          <t>Glass Liquid Soap Dispenser (SS 304)</t>
        </is>
      </c>
      <c r="D23" s="27" t="inlineStr">
        <is>
          <t>EGD-1610</t>
        </is>
      </c>
      <c r="E23" s="27" t="inlineStr">
        <is>
          <t>Standard</t>
        </is>
      </c>
      <c r="F23" s="27" t="inlineStr">
        <is>
          <t>SS-304/Glass</t>
        </is>
      </c>
      <c r="G23" s="28" t="n">
        <v>1620</v>
      </c>
      <c r="H23" s="26">
        <f>G23*(1-Overview!$B$8)</f>
        <v/>
      </c>
      <c r="I23" s="27" t="inlineStr">
        <is>
          <t>NA</t>
        </is>
      </c>
      <c r="J23" s="14" t="inlineStr">
        <is>
          <t>Gold plated luxury pump dispenser</t>
        </is>
      </c>
    </row>
    <row r="24">
      <c r="A24" s="23" t="inlineStr">
        <is>
          <t>Accessories</t>
        </is>
      </c>
      <c r="B24" s="23" t="inlineStr">
        <is>
          <t>Elite Series - Gold Finish</t>
        </is>
      </c>
      <c r="C24" s="23" t="inlineStr">
        <is>
          <t>Glass Soap Dish (SS 304)</t>
        </is>
      </c>
      <c r="D24" s="24" t="inlineStr">
        <is>
          <t>EGD-1612</t>
        </is>
      </c>
      <c r="E24" s="24" t="inlineStr">
        <is>
          <t>Standard</t>
        </is>
      </c>
      <c r="F24" s="24" t="inlineStr">
        <is>
          <t>SS-304/Glass</t>
        </is>
      </c>
      <c r="G24" s="25" t="n">
        <v>1210</v>
      </c>
      <c r="H24" s="26">
        <f>G24*(1-Overview!$B$8)</f>
        <v/>
      </c>
      <c r="I24" s="24" t="inlineStr">
        <is>
          <t>NA</t>
        </is>
      </c>
      <c r="J24" s="23" t="inlineStr">
        <is>
          <t>Gold plated wall dish</t>
        </is>
      </c>
    </row>
    <row r="25">
      <c r="A25" s="14" t="inlineStr">
        <is>
          <t>Accessories</t>
        </is>
      </c>
      <c r="B25" s="14" t="inlineStr">
        <is>
          <t>Elite Series - Rose Gold Finish</t>
        </is>
      </c>
      <c r="C25" s="14" t="inlineStr">
        <is>
          <t>Towel Rack (SS 304)</t>
        </is>
      </c>
      <c r="D25" s="27" t="inlineStr">
        <is>
          <t>ERGD-1601-24</t>
        </is>
      </c>
      <c r="E25" s="27" t="inlineStr">
        <is>
          <t>600mm</t>
        </is>
      </c>
      <c r="F25" s="27" t="inlineStr">
        <is>
          <t>SS-304</t>
        </is>
      </c>
      <c r="G25" s="28" t="n">
        <v>5480</v>
      </c>
      <c r="H25" s="26">
        <f>G25*(1-Overview!$B$8)</f>
        <v/>
      </c>
      <c r="I25" s="27" t="inlineStr">
        <is>
          <t>NA</t>
        </is>
      </c>
      <c r="J25" s="14" t="inlineStr">
        <is>
          <t>Rose Gold plated luxury rack</t>
        </is>
      </c>
    </row>
    <row r="26">
      <c r="A26" s="23" t="inlineStr">
        <is>
          <t>Accessories</t>
        </is>
      </c>
      <c r="B26" s="23" t="inlineStr">
        <is>
          <t>Elite Series - Rose Gold Finish</t>
        </is>
      </c>
      <c r="C26" s="23" t="inlineStr">
        <is>
          <t>Towel Rod (SS 304)</t>
        </is>
      </c>
      <c r="D26" s="24" t="inlineStr">
        <is>
          <t>ERGD-1602-18</t>
        </is>
      </c>
      <c r="E26" s="24" t="inlineStr">
        <is>
          <t>450mm</t>
        </is>
      </c>
      <c r="F26" s="24" t="inlineStr">
        <is>
          <t>SS-304</t>
        </is>
      </c>
      <c r="G26" s="25" t="n">
        <v>1790</v>
      </c>
      <c r="H26" s="26">
        <f>G26*(1-Overview!$B$8)</f>
        <v/>
      </c>
      <c r="I26" s="24" t="inlineStr">
        <is>
          <t>NA</t>
        </is>
      </c>
      <c r="J26" s="23" t="inlineStr">
        <is>
          <t>Rose Gold plated single rod</t>
        </is>
      </c>
    </row>
    <row r="27">
      <c r="A27" s="14" t="inlineStr">
        <is>
          <t>Accessories</t>
        </is>
      </c>
      <c r="B27" s="14" t="inlineStr">
        <is>
          <t>Elite Series - Rose Gold Finish</t>
        </is>
      </c>
      <c r="C27" s="14" t="inlineStr">
        <is>
          <t>Towel Rod (SS 304)</t>
        </is>
      </c>
      <c r="D27" s="27" t="inlineStr">
        <is>
          <t>ERGD-1602-24</t>
        </is>
      </c>
      <c r="E27" s="27" t="inlineStr">
        <is>
          <t>600mm</t>
        </is>
      </c>
      <c r="F27" s="27" t="inlineStr">
        <is>
          <t>SS-304</t>
        </is>
      </c>
      <c r="G27" s="28" t="n">
        <v>1850</v>
      </c>
      <c r="H27" s="26">
        <f>G27*(1-Overview!$B$8)</f>
        <v/>
      </c>
      <c r="I27" s="27" t="inlineStr">
        <is>
          <t>NA</t>
        </is>
      </c>
      <c r="J27" s="14" t="inlineStr">
        <is>
          <t>Rose Gold plated single rod</t>
        </is>
      </c>
    </row>
    <row r="28">
      <c r="A28" s="23" t="inlineStr">
        <is>
          <t>Accessories</t>
        </is>
      </c>
      <c r="B28" s="23" t="inlineStr">
        <is>
          <t>Elite Series - Rose Gold Finish</t>
        </is>
      </c>
      <c r="C28" s="23" t="inlineStr">
        <is>
          <t>Robe Hook (SS 304)</t>
        </is>
      </c>
      <c r="D28" s="24" t="inlineStr">
        <is>
          <t>ERGD-1603</t>
        </is>
      </c>
      <c r="E28" s="24" t="inlineStr">
        <is>
          <t>Standard</t>
        </is>
      </c>
      <c r="F28" s="24" t="inlineStr">
        <is>
          <t>SS-304</t>
        </is>
      </c>
      <c r="G28" s="25" t="n">
        <v>880</v>
      </c>
      <c r="H28" s="26">
        <f>G28*(1-Overview!$B$8)</f>
        <v/>
      </c>
      <c r="I28" s="24" t="inlineStr">
        <is>
          <t>NA</t>
        </is>
      </c>
      <c r="J28" s="23" t="inlineStr">
        <is>
          <t>Rose Gold plated peg</t>
        </is>
      </c>
    </row>
    <row r="29">
      <c r="A29" s="14" t="inlineStr">
        <is>
          <t>Accessories</t>
        </is>
      </c>
      <c r="B29" s="14" t="inlineStr">
        <is>
          <t>Elite Series - Rose Gold Finish</t>
        </is>
      </c>
      <c r="C29" s="14" t="inlineStr">
        <is>
          <t>Glass Tumbler Holder (SS 304)</t>
        </is>
      </c>
      <c r="D29" s="27" t="inlineStr">
        <is>
          <t>ERGD-1605</t>
        </is>
      </c>
      <c r="E29" s="27" t="inlineStr">
        <is>
          <t>Standard</t>
        </is>
      </c>
      <c r="F29" s="27" t="inlineStr">
        <is>
          <t>SS-304/Glass</t>
        </is>
      </c>
      <c r="G29" s="28" t="n">
        <v>1440</v>
      </c>
      <c r="H29" s="26">
        <f>G29*(1-Overview!$B$8)</f>
        <v/>
      </c>
      <c r="I29" s="27" t="inlineStr">
        <is>
          <t>NA</t>
        </is>
      </c>
      <c r="J29" s="14" t="inlineStr">
        <is>
          <t>Rose Gold plated tumbler container</t>
        </is>
      </c>
    </row>
    <row r="30">
      <c r="A30" s="23" t="inlineStr">
        <is>
          <t>Accessories</t>
        </is>
      </c>
      <c r="B30" s="23" t="inlineStr">
        <is>
          <t>Elite Series - Rose Gold Finish</t>
        </is>
      </c>
      <c r="C30" s="23" t="inlineStr">
        <is>
          <t>Towel Ring (SS 304)</t>
        </is>
      </c>
      <c r="D30" s="24" t="inlineStr">
        <is>
          <t>ERGD-1606</t>
        </is>
      </c>
      <c r="E30" s="24" t="inlineStr">
        <is>
          <t>Standard</t>
        </is>
      </c>
      <c r="F30" s="24" t="inlineStr">
        <is>
          <t>SS-304</t>
        </is>
      </c>
      <c r="G30" s="25" t="n">
        <v>1440</v>
      </c>
      <c r="H30" s="26">
        <f>G30*(1-Overview!$B$8)</f>
        <v/>
      </c>
      <c r="I30" s="24" t="inlineStr">
        <is>
          <t>NA</t>
        </is>
      </c>
      <c r="J30" s="23" t="inlineStr">
        <is>
          <t>Rose Gold plated wall ring</t>
        </is>
      </c>
    </row>
    <row r="31">
      <c r="A31" s="14" t="inlineStr">
        <is>
          <t>Accessories</t>
        </is>
      </c>
      <c r="B31" s="14" t="inlineStr">
        <is>
          <t>Elite Series - Rose Gold Finish</t>
        </is>
      </c>
      <c r="C31" s="14" t="inlineStr">
        <is>
          <t>Toilet Paper Holder (SS 304)</t>
        </is>
      </c>
      <c r="D31" s="27" t="inlineStr">
        <is>
          <t>ERGD-1609</t>
        </is>
      </c>
      <c r="E31" s="27" t="inlineStr">
        <is>
          <t>Standard</t>
        </is>
      </c>
      <c r="F31" s="27" t="inlineStr">
        <is>
          <t>SS-304</t>
        </is>
      </c>
      <c r="G31" s="28" t="n">
        <v>2080</v>
      </c>
      <c r="H31" s="26">
        <f>G31*(1-Overview!$B$8)</f>
        <v/>
      </c>
      <c r="I31" s="27" t="inlineStr">
        <is>
          <t>NA</t>
        </is>
      </c>
      <c r="J31" s="14" t="inlineStr">
        <is>
          <t>Rose Gold toilet paper stand with cover</t>
        </is>
      </c>
    </row>
    <row r="32">
      <c r="A32" s="23" t="inlineStr">
        <is>
          <t>Accessories</t>
        </is>
      </c>
      <c r="B32" s="23" t="inlineStr">
        <is>
          <t>Elite Series - Rose Gold Finish</t>
        </is>
      </c>
      <c r="C32" s="23" t="inlineStr">
        <is>
          <t>Glass Liquid Soap Dispenser (SS 304)</t>
        </is>
      </c>
      <c r="D32" s="24" t="inlineStr">
        <is>
          <t>ERGD-1610</t>
        </is>
      </c>
      <c r="E32" s="24" t="inlineStr">
        <is>
          <t>Standard</t>
        </is>
      </c>
      <c r="F32" s="24" t="inlineStr">
        <is>
          <t>SS-304/Glass</t>
        </is>
      </c>
      <c r="G32" s="25" t="n">
        <v>1620</v>
      </c>
      <c r="H32" s="26">
        <f>G32*(1-Overview!$B$8)</f>
        <v/>
      </c>
      <c r="I32" s="24" t="inlineStr">
        <is>
          <t>NA</t>
        </is>
      </c>
      <c r="J32" s="23" t="inlineStr">
        <is>
          <t>Rose Gold luxury pump dispenser</t>
        </is>
      </c>
    </row>
    <row r="33">
      <c r="A33" s="14" t="inlineStr">
        <is>
          <t>Accessories</t>
        </is>
      </c>
      <c r="B33" s="14" t="inlineStr">
        <is>
          <t>Elite Series - Rose Gold Finish</t>
        </is>
      </c>
      <c r="C33" s="14" t="inlineStr">
        <is>
          <t>Glass Soap Dish (SS 304)</t>
        </is>
      </c>
      <c r="D33" s="27" t="inlineStr">
        <is>
          <t>ERGD-1612</t>
        </is>
      </c>
      <c r="E33" s="27" t="inlineStr">
        <is>
          <t>Standard</t>
        </is>
      </c>
      <c r="F33" s="27" t="inlineStr">
        <is>
          <t>SS-304/Glass</t>
        </is>
      </c>
      <c r="G33" s="28" t="n">
        <v>1210</v>
      </c>
      <c r="H33" s="26">
        <f>G33*(1-Overview!$B$8)</f>
        <v/>
      </c>
      <c r="I33" s="27" t="inlineStr">
        <is>
          <t>NA</t>
        </is>
      </c>
      <c r="J33" s="14" t="inlineStr">
        <is>
          <t>Rose Gold plated wall dish</t>
        </is>
      </c>
    </row>
    <row r="34">
      <c r="A34" s="23" t="inlineStr">
        <is>
          <t>Accessories</t>
        </is>
      </c>
      <c r="B34" s="23" t="inlineStr">
        <is>
          <t>Elite Series - Chrome Finish</t>
        </is>
      </c>
      <c r="C34" s="23" t="inlineStr">
        <is>
          <t>Towel Rack (SS 304)</t>
        </is>
      </c>
      <c r="D34" s="24" t="inlineStr">
        <is>
          <t>EC-1601-24</t>
        </is>
      </c>
      <c r="E34" s="24" t="inlineStr">
        <is>
          <t>600mm</t>
        </is>
      </c>
      <c r="F34" s="24" t="inlineStr">
        <is>
          <t>SS-304</t>
        </is>
      </c>
      <c r="G34" s="25" t="n">
        <v>3940</v>
      </c>
      <c r="H34" s="26">
        <f>G34*(1-Overview!$B$8)</f>
        <v/>
      </c>
      <c r="I34" s="24" t="inlineStr">
        <is>
          <t>NA</t>
        </is>
      </c>
      <c r="J34" s="23" t="inlineStr">
        <is>
          <t>Premium chrome plated rack</t>
        </is>
      </c>
    </row>
    <row r="35">
      <c r="A35" s="14" t="inlineStr">
        <is>
          <t>Accessories</t>
        </is>
      </c>
      <c r="B35" s="14" t="inlineStr">
        <is>
          <t>Elite Series - Chrome Finish</t>
        </is>
      </c>
      <c r="C35" s="14" t="inlineStr">
        <is>
          <t>Towel Rod (SS 304)</t>
        </is>
      </c>
      <c r="D35" s="27" t="inlineStr">
        <is>
          <t>EC-1602-18</t>
        </is>
      </c>
      <c r="E35" s="27" t="inlineStr">
        <is>
          <t>450mm</t>
        </is>
      </c>
      <c r="F35" s="27" t="inlineStr">
        <is>
          <t>SS-304</t>
        </is>
      </c>
      <c r="G35" s="28" t="n">
        <v>1170</v>
      </c>
      <c r="H35" s="26">
        <f>G35*(1-Overview!$B$8)</f>
        <v/>
      </c>
      <c r="I35" s="27" t="inlineStr">
        <is>
          <t>NA</t>
        </is>
      </c>
      <c r="J35" s="14" t="inlineStr">
        <is>
          <t>Premium chrome plated single rod</t>
        </is>
      </c>
    </row>
    <row r="36">
      <c r="A36" s="23" t="inlineStr">
        <is>
          <t>Accessories</t>
        </is>
      </c>
      <c r="B36" s="23" t="inlineStr">
        <is>
          <t>Elite Series - Chrome Finish</t>
        </is>
      </c>
      <c r="C36" s="23" t="inlineStr">
        <is>
          <t>Towel Rod (SS 304)</t>
        </is>
      </c>
      <c r="D36" s="24" t="inlineStr">
        <is>
          <t>EC-1602-24</t>
        </is>
      </c>
      <c r="E36" s="24" t="inlineStr">
        <is>
          <t>600mm</t>
        </is>
      </c>
      <c r="F36" s="24" t="inlineStr">
        <is>
          <t>SS-304</t>
        </is>
      </c>
      <c r="G36" s="25" t="n">
        <v>1200</v>
      </c>
      <c r="H36" s="26">
        <f>G36*(1-Overview!$B$8)</f>
        <v/>
      </c>
      <c r="I36" s="24" t="inlineStr">
        <is>
          <t>NA</t>
        </is>
      </c>
      <c r="J36" s="23" t="inlineStr">
        <is>
          <t>Premium chrome plated single rod</t>
        </is>
      </c>
    </row>
    <row r="37">
      <c r="A37" s="14" t="inlineStr">
        <is>
          <t>Accessories</t>
        </is>
      </c>
      <c r="B37" s="14" t="inlineStr">
        <is>
          <t>Elite Series - Chrome Finish</t>
        </is>
      </c>
      <c r="C37" s="14" t="inlineStr">
        <is>
          <t>Robe Hook (SS 304)</t>
        </is>
      </c>
      <c r="D37" s="27" t="inlineStr">
        <is>
          <t>EC-1603</t>
        </is>
      </c>
      <c r="E37" s="27" t="inlineStr">
        <is>
          <t>Standard</t>
        </is>
      </c>
      <c r="F37" s="27" t="inlineStr">
        <is>
          <t>SS-304</t>
        </is>
      </c>
      <c r="G37" s="28" t="n">
        <v>570</v>
      </c>
      <c r="H37" s="26">
        <f>G37*(1-Overview!$B$8)</f>
        <v/>
      </c>
      <c r="I37" s="27" t="inlineStr">
        <is>
          <t>NA</t>
        </is>
      </c>
      <c r="J37" s="14" t="inlineStr">
        <is>
          <t>Chrome plated double hook</t>
        </is>
      </c>
    </row>
    <row r="38">
      <c r="A38" s="23" t="inlineStr">
        <is>
          <t>Accessories</t>
        </is>
      </c>
      <c r="B38" s="23" t="inlineStr">
        <is>
          <t>Elite Series - Chrome Finish</t>
        </is>
      </c>
      <c r="C38" s="23" t="inlineStr">
        <is>
          <t>Glass Tumbler Holder (SS 304)</t>
        </is>
      </c>
      <c r="D38" s="24" t="inlineStr">
        <is>
          <t>ERGD-1605</t>
        </is>
      </c>
      <c r="E38" s="24" t="inlineStr">
        <is>
          <t>Standard</t>
        </is>
      </c>
      <c r="F38" s="24" t="inlineStr">
        <is>
          <t>SS-304/Glass</t>
        </is>
      </c>
      <c r="G38" s="25" t="n">
        <v>890</v>
      </c>
      <c r="H38" s="26">
        <f>G38*(1-Overview!$B$8)</f>
        <v/>
      </c>
      <c r="I38" s="24" t="inlineStr">
        <is>
          <t>NA</t>
        </is>
      </c>
      <c r="J38" s="23" t="inlineStr">
        <is>
          <t>Chrome plated holder (Uses code ERGD-1605 as printed in catalog)</t>
        </is>
      </c>
    </row>
    <row r="39">
      <c r="A39" s="14" t="inlineStr">
        <is>
          <t>Accessories</t>
        </is>
      </c>
      <c r="B39" s="14" t="inlineStr">
        <is>
          <t>Elite Series - Chrome Finish</t>
        </is>
      </c>
      <c r="C39" s="14" t="inlineStr">
        <is>
          <t>Towel Ring (SS 304)</t>
        </is>
      </c>
      <c r="D39" s="27" t="inlineStr">
        <is>
          <t>EC-1606</t>
        </is>
      </c>
      <c r="E39" s="27" t="inlineStr">
        <is>
          <t>Standard</t>
        </is>
      </c>
      <c r="F39" s="27" t="inlineStr">
        <is>
          <t>SS-304</t>
        </is>
      </c>
      <c r="G39" s="28" t="n">
        <v>870</v>
      </c>
      <c r="H39" s="26">
        <f>G39*(1-Overview!$B$8)</f>
        <v/>
      </c>
      <c r="I39" s="27" t="inlineStr">
        <is>
          <t>NA</t>
        </is>
      </c>
      <c r="J39" s="14" t="inlineStr">
        <is>
          <t>Chrome plated wall ring</t>
        </is>
      </c>
    </row>
    <row r="40">
      <c r="A40" s="23" t="inlineStr">
        <is>
          <t>Accessories</t>
        </is>
      </c>
      <c r="B40" s="23" t="inlineStr">
        <is>
          <t>Elite Series - Chrome Finish</t>
        </is>
      </c>
      <c r="C40" s="23" t="inlineStr">
        <is>
          <t>Toilet Paper Holder (SS 304)</t>
        </is>
      </c>
      <c r="D40" s="24" t="inlineStr">
        <is>
          <t>EC-1609</t>
        </is>
      </c>
      <c r="E40" s="24" t="inlineStr">
        <is>
          <t>Standard</t>
        </is>
      </c>
      <c r="F40" s="24" t="inlineStr">
        <is>
          <t>SS-304</t>
        </is>
      </c>
      <c r="G40" s="25" t="n">
        <v>1140</v>
      </c>
      <c r="H40" s="26">
        <f>G40*(1-Overview!$B$8)</f>
        <v/>
      </c>
      <c r="I40" s="24" t="inlineStr">
        <is>
          <t>NA</t>
        </is>
      </c>
      <c r="J40" s="23" t="inlineStr">
        <is>
          <t>Chrome toilet paper stand with cover</t>
        </is>
      </c>
    </row>
    <row r="41">
      <c r="A41" s="14" t="inlineStr">
        <is>
          <t>Accessories</t>
        </is>
      </c>
      <c r="B41" s="14" t="inlineStr">
        <is>
          <t>Elite Series - Chrome Finish</t>
        </is>
      </c>
      <c r="C41" s="14" t="inlineStr">
        <is>
          <t>Glass Liquid Soap Dispenser (SS 304)</t>
        </is>
      </c>
      <c r="D41" s="27" t="inlineStr">
        <is>
          <t>EC-1610</t>
        </is>
      </c>
      <c r="E41" s="27" t="inlineStr">
        <is>
          <t>Standard</t>
        </is>
      </c>
      <c r="F41" s="27" t="inlineStr">
        <is>
          <t>SS-304/Glass</t>
        </is>
      </c>
      <c r="G41" s="28" t="n">
        <v>1060</v>
      </c>
      <c r="H41" s="26">
        <f>G41*(1-Overview!$B$8)</f>
        <v/>
      </c>
      <c r="I41" s="27" t="inlineStr">
        <is>
          <t>NA</t>
        </is>
      </c>
      <c r="J41" s="14" t="inlineStr">
        <is>
          <t>Chrome luxury pump dispenser</t>
        </is>
      </c>
    </row>
    <row r="42">
      <c r="A42" s="23" t="inlineStr">
        <is>
          <t>Accessories</t>
        </is>
      </c>
      <c r="B42" s="23" t="inlineStr">
        <is>
          <t>Elite Series - Chrome Finish</t>
        </is>
      </c>
      <c r="C42" s="23" t="inlineStr">
        <is>
          <t>Glass Soap Dish (SS 304)</t>
        </is>
      </c>
      <c r="D42" s="24" t="inlineStr">
        <is>
          <t>EC-1612</t>
        </is>
      </c>
      <c r="E42" s="24" t="inlineStr">
        <is>
          <t>Standard</t>
        </is>
      </c>
      <c r="F42" s="24" t="inlineStr">
        <is>
          <t>SS-304/Glass</t>
        </is>
      </c>
      <c r="G42" s="25" t="n">
        <v>850</v>
      </c>
      <c r="H42" s="26">
        <f>G42*(1-Overview!$B$8)</f>
        <v/>
      </c>
      <c r="I42" s="24" t="inlineStr">
        <is>
          <t>NA</t>
        </is>
      </c>
      <c r="J42" s="23" t="inlineStr">
        <is>
          <t>Chrome plated wall dish</t>
        </is>
      </c>
    </row>
    <row r="43">
      <c r="A43" s="14" t="inlineStr">
        <is>
          <t>Accessories</t>
        </is>
      </c>
      <c r="B43" s="14" t="inlineStr">
        <is>
          <t>Brava Series - Matt Black Finish</t>
        </is>
      </c>
      <c r="C43" s="14" t="inlineStr">
        <is>
          <t>Towel Rod (SS 304)</t>
        </is>
      </c>
      <c r="D43" s="27" t="inlineStr">
        <is>
          <t>BMB-1602</t>
        </is>
      </c>
      <c r="E43" s="27" t="inlineStr">
        <is>
          <t>600mm</t>
        </is>
      </c>
      <c r="F43" s="27" t="inlineStr">
        <is>
          <t>SS-304</t>
        </is>
      </c>
      <c r="G43" s="28" t="n">
        <v>3300</v>
      </c>
      <c r="H43" s="26">
        <f>G43*(1-Overview!$B$8)</f>
        <v/>
      </c>
      <c r="I43" s="27" t="inlineStr">
        <is>
          <t>NA</t>
        </is>
      </c>
      <c r="J43" s="14" t="inlineStr">
        <is>
          <t>Matt Black luxury single rod</t>
        </is>
      </c>
    </row>
    <row r="44">
      <c r="A44" s="23" t="inlineStr">
        <is>
          <t>Accessories</t>
        </is>
      </c>
      <c r="B44" s="23" t="inlineStr">
        <is>
          <t>Brava Series - Matt Black Finish</t>
        </is>
      </c>
      <c r="C44" s="23" t="inlineStr">
        <is>
          <t>Glass Tumbler Holder (SS 304)</t>
        </is>
      </c>
      <c r="D44" s="24" t="inlineStr">
        <is>
          <t>BMB-1605</t>
        </is>
      </c>
      <c r="E44" s="24" t="inlineStr">
        <is>
          <t>Standard</t>
        </is>
      </c>
      <c r="F44" s="24" t="inlineStr">
        <is>
          <t>SS-304/Glass</t>
        </is>
      </c>
      <c r="G44" s="25" t="n">
        <v>1400</v>
      </c>
      <c r="H44" s="26">
        <f>G44*(1-Overview!$B$8)</f>
        <v/>
      </c>
      <c r="I44" s="24" t="inlineStr">
        <is>
          <t>NA</t>
        </is>
      </c>
      <c r="J44" s="23" t="inlineStr">
        <is>
          <t>Matt Black tumbler holder with glass</t>
        </is>
      </c>
    </row>
    <row r="45">
      <c r="A45" s="14" t="inlineStr">
        <is>
          <t>Accessories</t>
        </is>
      </c>
      <c r="B45" s="14" t="inlineStr">
        <is>
          <t>Brava Series - Matt Black Finish</t>
        </is>
      </c>
      <c r="C45" s="14" t="inlineStr">
        <is>
          <t>Towel Ring (SS 304)</t>
        </is>
      </c>
      <c r="D45" s="27" t="inlineStr">
        <is>
          <t>BMB-1606</t>
        </is>
      </c>
      <c r="E45" s="27" t="inlineStr">
        <is>
          <t>Standard</t>
        </is>
      </c>
      <c r="F45" s="27" t="inlineStr">
        <is>
          <t>SS-304</t>
        </is>
      </c>
      <c r="G45" s="28" t="n">
        <v>1470</v>
      </c>
      <c r="H45" s="26">
        <f>G45*(1-Overview!$B$8)</f>
        <v/>
      </c>
      <c r="I45" s="27" t="inlineStr">
        <is>
          <t>NA</t>
        </is>
      </c>
      <c r="J45" s="14" t="inlineStr">
        <is>
          <t>Matt Black wall towel ring</t>
        </is>
      </c>
    </row>
    <row r="46">
      <c r="A46" s="23" t="inlineStr">
        <is>
          <t>Accessories</t>
        </is>
      </c>
      <c r="B46" s="23" t="inlineStr">
        <is>
          <t>Brava Series - Matt Black Finish</t>
        </is>
      </c>
      <c r="C46" s="23" t="inlineStr">
        <is>
          <t>Glass Soap Dish (SS 304)</t>
        </is>
      </c>
      <c r="D46" s="24" t="inlineStr">
        <is>
          <t>BMB-1608</t>
        </is>
      </c>
      <c r="E46" s="24" t="inlineStr">
        <is>
          <t>Standard</t>
        </is>
      </c>
      <c r="F46" s="24" t="inlineStr">
        <is>
          <t>SS-304/Glass</t>
        </is>
      </c>
      <c r="G46" s="25" t="n">
        <v>1580</v>
      </c>
      <c r="H46" s="26">
        <f>G46*(1-Overview!$B$8)</f>
        <v/>
      </c>
      <c r="I46" s="24" t="inlineStr">
        <is>
          <t>NA</t>
        </is>
      </c>
      <c r="J46" s="23" t="inlineStr">
        <is>
          <t>Matt Black wall soap dish with glass plate</t>
        </is>
      </c>
    </row>
    <row r="47">
      <c r="A47" s="14" t="inlineStr">
        <is>
          <t>Accessories</t>
        </is>
      </c>
      <c r="B47" s="14" t="inlineStr">
        <is>
          <t>Brava Series - Matt Black Finish</t>
        </is>
      </c>
      <c r="C47" s="14" t="inlineStr">
        <is>
          <t>Glass Liquid Soap Dispenser (SS 304)</t>
        </is>
      </c>
      <c r="D47" s="27" t="inlineStr">
        <is>
          <t>BMB-1610</t>
        </is>
      </c>
      <c r="E47" s="27" t="inlineStr">
        <is>
          <t>Standard</t>
        </is>
      </c>
      <c r="F47" s="27" t="inlineStr">
        <is>
          <t>SS-304/Glass</t>
        </is>
      </c>
      <c r="G47" s="28" t="n">
        <v>1580</v>
      </c>
      <c r="H47" s="26">
        <f>G47*(1-Overview!$B$8)</f>
        <v/>
      </c>
      <c r="I47" s="27" t="inlineStr">
        <is>
          <t>NA</t>
        </is>
      </c>
      <c r="J47" s="14" t="inlineStr">
        <is>
          <t>Matt Black luxury glass soap pump</t>
        </is>
      </c>
    </row>
    <row r="48">
      <c r="A48" s="23" t="inlineStr">
        <is>
          <t>Accessories</t>
        </is>
      </c>
      <c r="B48" s="23" t="inlineStr">
        <is>
          <t>Brava Series - Matt Black Finish</t>
        </is>
      </c>
      <c r="C48" s="23" t="inlineStr">
        <is>
          <t>Dual Liquid Soap Dispenser (SS 304)</t>
        </is>
      </c>
      <c r="D48" s="24" t="inlineStr">
        <is>
          <t>BMB-1616</t>
        </is>
      </c>
      <c r="E48" s="24" t="inlineStr">
        <is>
          <t>Standard</t>
        </is>
      </c>
      <c r="F48" s="24" t="inlineStr">
        <is>
          <t>SS-304/Glass</t>
        </is>
      </c>
      <c r="G48" s="25" t="n">
        <v>3150</v>
      </c>
      <c r="H48" s="26">
        <f>G48*(1-Overview!$B$8)</f>
        <v/>
      </c>
      <c r="I48" s="24" t="inlineStr">
        <is>
          <t>NA</t>
        </is>
      </c>
      <c r="J48" s="23" t="inlineStr">
        <is>
          <t>Double pump glass dispenser set</t>
        </is>
      </c>
    </row>
    <row r="49">
      <c r="A49" s="14" t="inlineStr">
        <is>
          <t>Kitchen Sinks</t>
        </is>
      </c>
      <c r="B49" s="14" t="inlineStr">
        <is>
          <t>Premium Series SS304 Sink</t>
        </is>
      </c>
      <c r="C49" s="14" t="inlineStr">
        <is>
          <t>S.S. Sink (Satin)</t>
        </is>
      </c>
      <c r="D49" s="27" t="inlineStr">
        <is>
          <t>AI-SI-241809-1 HM</t>
        </is>
      </c>
      <c r="E49" s="27" t="inlineStr">
        <is>
          <t>24x18x9 (610x455x230 mm)</t>
        </is>
      </c>
      <c r="F49" s="27" t="inlineStr">
        <is>
          <t>SS-304</t>
        </is>
      </c>
      <c r="G49" s="28" t="n">
        <v>14330</v>
      </c>
      <c r="H49" s="26">
        <f>G49*(1-Overview!$B$8)</f>
        <v/>
      </c>
      <c r="I49" s="27" t="inlineStr">
        <is>
          <t>NA</t>
        </is>
      </c>
      <c r="J49" s="14" t="inlineStr">
        <is>
          <t>1mm Thick, Handmade Clean Edges, Ceramic Noise Coating, Square Waste Coupling included</t>
        </is>
      </c>
    </row>
    <row r="50">
      <c r="A50" s="23" t="inlineStr">
        <is>
          <t>Kitchen Sinks</t>
        </is>
      </c>
      <c r="B50" s="23" t="inlineStr">
        <is>
          <t>Premium Series SS304 Sink</t>
        </is>
      </c>
      <c r="C50" s="23" t="inlineStr">
        <is>
          <t>S.S. Sink (Glossy)</t>
        </is>
      </c>
      <c r="D50" s="24" t="inlineStr">
        <is>
          <t>AI-SI-241809-1 HY</t>
        </is>
      </c>
      <c r="E50" s="24" t="inlineStr">
        <is>
          <t>24x18x9 (610x455x230 mm)</t>
        </is>
      </c>
      <c r="F50" s="24" t="inlineStr">
        <is>
          <t>SS-304</t>
        </is>
      </c>
      <c r="G50" s="25" t="n">
        <v>7640</v>
      </c>
      <c r="H50" s="26">
        <f>G50*(1-Overview!$B$8)</f>
        <v/>
      </c>
      <c r="I50" s="24" t="inlineStr">
        <is>
          <t>NA</t>
        </is>
      </c>
      <c r="J50" s="23" t="inlineStr">
        <is>
          <t>1mm Thick, Curve Corners, Ceramic Noise Coating, Heavy Round Waste Coupling included</t>
        </is>
      </c>
    </row>
    <row r="51">
      <c r="A51" s="14" t="inlineStr">
        <is>
          <t>Kitchen Sinks</t>
        </is>
      </c>
      <c r="B51" s="14" t="inlineStr">
        <is>
          <t>Premium Series SS304 Sink</t>
        </is>
      </c>
      <c r="C51" s="14" t="inlineStr">
        <is>
          <t>S.S. Sink Double-Bowl</t>
        </is>
      </c>
      <c r="D51" s="27" t="inlineStr">
        <is>
          <t>AI-SI-371809-8 HM</t>
        </is>
      </c>
      <c r="E51" s="27" t="inlineStr">
        <is>
          <t>37x18x9 (940x455x230 mm)</t>
        </is>
      </c>
      <c r="F51" s="27" t="inlineStr">
        <is>
          <t>SS-304</t>
        </is>
      </c>
      <c r="G51" s="28" t="n">
        <v>21680</v>
      </c>
      <c r="H51" s="26">
        <f>G51*(1-Overview!$B$8)</f>
        <v/>
      </c>
      <c r="I51" s="27" t="inlineStr">
        <is>
          <t>NA</t>
        </is>
      </c>
      <c r="J51" s="14" t="inlineStr">
        <is>
          <t>0.8mm Thick, Satin Finish, Ceramic Noise Coating, Double Bowl (17"x16" each)</t>
        </is>
      </c>
    </row>
    <row r="52">
      <c r="A52" s="23" t="inlineStr">
        <is>
          <t>Kitchen Sinks</t>
        </is>
      </c>
      <c r="B52" s="23" t="inlineStr">
        <is>
          <t>Standard Sinks Series</t>
        </is>
      </c>
      <c r="C52" s="23" t="inlineStr">
        <is>
          <t>S.S. Sink Standard (Single Bowl with Drain Board)</t>
        </is>
      </c>
      <c r="D52" s="24" t="inlineStr">
        <is>
          <t>AI-SI-371808-1</t>
        </is>
      </c>
      <c r="E52" s="24" t="inlineStr">
        <is>
          <t>37X18X8</t>
        </is>
      </c>
      <c r="F52" s="24" t="inlineStr">
        <is>
          <t>Stainless Steel</t>
        </is>
      </c>
      <c r="G52" s="25" t="n">
        <v>5580</v>
      </c>
      <c r="H52" s="26">
        <f>G52*(1-Overview!$B$8)</f>
        <v/>
      </c>
      <c r="I52" s="24" t="inlineStr">
        <is>
          <t>2 PCS</t>
        </is>
      </c>
      <c r="J52" s="23" t="inlineStr">
        <is>
          <t>1mm Ceramic Coating</t>
        </is>
      </c>
    </row>
    <row r="53">
      <c r="A53" s="14" t="inlineStr">
        <is>
          <t>Kitchen Sinks</t>
        </is>
      </c>
      <c r="B53" s="14" t="inlineStr">
        <is>
          <t>Standard Sinks Series</t>
        </is>
      </c>
      <c r="C53" s="14" t="inlineStr">
        <is>
          <t>S.S. Sink Standard (Single Bowl)</t>
        </is>
      </c>
      <c r="D53" s="27" t="inlineStr">
        <is>
          <t>AI-SI-181608-8</t>
        </is>
      </c>
      <c r="E53" s="27" t="inlineStr">
        <is>
          <t>18X16X8</t>
        </is>
      </c>
      <c r="F53" s="27" t="inlineStr">
        <is>
          <t>Stainless Steel</t>
        </is>
      </c>
      <c r="G53" s="28" t="n">
        <v>2400</v>
      </c>
      <c r="H53" s="26">
        <f>G53*(1-Overview!$B$8)</f>
        <v/>
      </c>
      <c r="I53" s="27" t="inlineStr">
        <is>
          <t>1 PC</t>
        </is>
      </c>
      <c r="J53" s="14" t="inlineStr">
        <is>
          <t>Standard kitchen sink bowl</t>
        </is>
      </c>
    </row>
    <row r="54">
      <c r="A54" s="23" t="inlineStr">
        <is>
          <t>Kitchen Sinks</t>
        </is>
      </c>
      <c r="B54" s="23" t="inlineStr">
        <is>
          <t>Standard Sinks Series</t>
        </is>
      </c>
      <c r="C54" s="23" t="inlineStr">
        <is>
          <t>S.S. Sink Standard (Single Bowl)</t>
        </is>
      </c>
      <c r="D54" s="24" t="inlineStr">
        <is>
          <t>AI-SI-201708-8</t>
        </is>
      </c>
      <c r="E54" s="24" t="inlineStr">
        <is>
          <t>20X17X8</t>
        </is>
      </c>
      <c r="F54" s="24" t="inlineStr">
        <is>
          <t>Stainless Steel</t>
        </is>
      </c>
      <c r="G54" s="25" t="n">
        <v>2700</v>
      </c>
      <c r="H54" s="26">
        <f>G54*(1-Overview!$B$8)</f>
        <v/>
      </c>
      <c r="I54" s="24" t="inlineStr">
        <is>
          <t>1 PC</t>
        </is>
      </c>
      <c r="J54" s="23" t="inlineStr">
        <is>
          <t>Standard kitchen sink bowl</t>
        </is>
      </c>
    </row>
    <row r="55">
      <c r="A55" s="14" t="inlineStr">
        <is>
          <t>Kitchen Sinks</t>
        </is>
      </c>
      <c r="B55" s="14" t="inlineStr">
        <is>
          <t>Standard Sinks Series</t>
        </is>
      </c>
      <c r="C55" s="14" t="inlineStr">
        <is>
          <t>S.S. Sink Standard (Single Bowl)</t>
        </is>
      </c>
      <c r="D55" s="27" t="inlineStr">
        <is>
          <t>AI-SI-241808-8</t>
        </is>
      </c>
      <c r="E55" s="27" t="inlineStr">
        <is>
          <t>24X18X8</t>
        </is>
      </c>
      <c r="F55" s="27" t="inlineStr">
        <is>
          <t>Stainless Steel</t>
        </is>
      </c>
      <c r="G55" s="28" t="n">
        <v>3070</v>
      </c>
      <c r="H55" s="26">
        <f>G55*(1-Overview!$B$8)</f>
        <v/>
      </c>
      <c r="I55" s="27" t="inlineStr">
        <is>
          <t>1 PC</t>
        </is>
      </c>
      <c r="J55" s="14" t="inlineStr">
        <is>
          <t>Standard kitchen sink bowl</t>
        </is>
      </c>
    </row>
    <row r="56">
      <c r="A56" s="23" t="inlineStr">
        <is>
          <t>Kitchen Sinks</t>
        </is>
      </c>
      <c r="B56" s="23" t="inlineStr">
        <is>
          <t>Standard Sinks Series</t>
        </is>
      </c>
      <c r="C56" s="23" t="inlineStr">
        <is>
          <t>S.S. Sink Standard (Single Bowl)</t>
        </is>
      </c>
      <c r="D56" s="24" t="inlineStr">
        <is>
          <t>AI-SI-241809-8</t>
        </is>
      </c>
      <c r="E56" s="24" t="inlineStr">
        <is>
          <t>24X18X9</t>
        </is>
      </c>
      <c r="F56" s="24" t="inlineStr">
        <is>
          <t>Stainless Steel</t>
        </is>
      </c>
      <c r="G56" s="25" t="n">
        <v>3200</v>
      </c>
      <c r="H56" s="26">
        <f>G56*(1-Overview!$B$8)</f>
        <v/>
      </c>
      <c r="I56" s="24" t="inlineStr">
        <is>
          <t>1 PC</t>
        </is>
      </c>
      <c r="J56" s="23" t="inlineStr">
        <is>
          <t>Standard kitchen sink bowl</t>
        </is>
      </c>
    </row>
    <row r="57">
      <c r="A57" s="14" t="inlineStr">
        <is>
          <t>Utility Fixtures</t>
        </is>
      </c>
      <c r="B57" s="14" t="inlineStr">
        <is>
          <t>Premium Specialty Items</t>
        </is>
      </c>
      <c r="C57" s="14" t="inlineStr">
        <is>
          <t>Aquai Long Drain Cover</t>
        </is>
      </c>
      <c r="D57" s="27" t="inlineStr">
        <is>
          <t>BH-EXT150-4</t>
        </is>
      </c>
      <c r="E57" s="27" t="inlineStr">
        <is>
          <t>150x1000x4mm</t>
        </is>
      </c>
      <c r="F57" s="27" t="inlineStr">
        <is>
          <t>SS-304</t>
        </is>
      </c>
      <c r="G57" s="28" t="n">
        <v>10880</v>
      </c>
      <c r="H57" s="26">
        <f>G57*(1-Overview!$B$8)</f>
        <v/>
      </c>
      <c r="I57" s="27" t="inlineStr">
        <is>
          <t>NA</t>
        </is>
      </c>
      <c r="J57" s="14" t="inlineStr">
        <is>
          <t>Premium SS-304 Quality heavy shower drainage cover plate</t>
        </is>
      </c>
    </row>
    <row r="58">
      <c r="A58" s="23" t="inlineStr">
        <is>
          <t>Utility Fixtures</t>
        </is>
      </c>
      <c r="B58" s="23" t="inlineStr">
        <is>
          <t>Premium Specialty Items</t>
        </is>
      </c>
      <c r="C58" s="23" t="inlineStr">
        <is>
          <t>SS Mirror Cabinet</t>
        </is>
      </c>
      <c r="D58" s="24" t="inlineStr">
        <is>
          <t>GI-MC2014</t>
        </is>
      </c>
      <c r="E58" s="24" t="inlineStr">
        <is>
          <t>350x500x140mm</t>
        </is>
      </c>
      <c r="F58" s="24" t="inlineStr">
        <is>
          <t>SS-202</t>
        </is>
      </c>
      <c r="G58" s="25" t="n">
        <v>7650</v>
      </c>
      <c r="H58" s="26">
        <f>G58*(1-Overview!$B$8)</f>
        <v/>
      </c>
      <c r="I58" s="24" t="inlineStr">
        <is>
          <t>NA</t>
        </is>
      </c>
      <c r="J58" s="23" t="inlineStr">
        <is>
          <t>Sleek Design, Max Utility, Rust Resistant, Concealed Fittings, Mirror Finish</t>
        </is>
      </c>
    </row>
    <row r="59">
      <c r="C59" s="29" t="inlineStr">
        <is>
          <t>Total Summary / Averages</t>
        </is>
      </c>
      <c r="D59" s="30">
        <f>COUNTA(D4:D58)&amp;" Items"</f>
        <v/>
      </c>
      <c r="G59" s="31">
        <f>AVERAGE(G4:G58)</f>
        <v/>
      </c>
      <c r="H59" s="32">
        <f>AVERAGE(H4:H58)</f>
        <v/>
      </c>
    </row>
  </sheetData>
  <autoFilter ref="A3:J58"/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2" customWidth="1" min="4" max="4"/>
    <col width="21" customWidth="1" min="5" max="5"/>
    <col width="22" customWidth="1" min="6" max="6"/>
    <col width="23" customWidth="1" min="7" max="7"/>
    <col width="18" customWidth="1" min="8" max="8"/>
    <col width="17" customWidth="1" min="9" max="9"/>
    <col width="34" customWidth="1" min="10" max="10"/>
  </cols>
  <sheetData>
    <row r="1">
      <c r="A1" s="20" t="inlineStr">
        <is>
          <t>AQUAI - CLAMPS COMPLETE PRODUCTS LIST (VOL 8.2)</t>
        </is>
      </c>
      <c r="H1" s="21" t="inlineStr">
        <is>
          <t>← Return to Overview</t>
        </is>
      </c>
    </row>
    <row r="2"/>
    <row r="3">
      <c r="A3" s="22" t="inlineStr">
        <is>
          <t>Category</t>
        </is>
      </c>
      <c r="B3" s="22" t="inlineStr">
        <is>
          <t>Series / Finish</t>
        </is>
      </c>
      <c r="C3" s="22" t="inlineStr">
        <is>
          <t>Product Name</t>
        </is>
      </c>
      <c r="D3" s="22" t="inlineStr">
        <is>
          <t>Code No.</t>
        </is>
      </c>
      <c r="E3" s="22" t="inlineStr">
        <is>
          <t>Size / Dimensions</t>
        </is>
      </c>
      <c r="F3" s="22" t="inlineStr">
        <is>
          <t>Material</t>
        </is>
      </c>
      <c r="G3" s="22" t="inlineStr">
        <is>
          <t>Dealer Price (D.P.)</t>
        </is>
      </c>
      <c r="H3" s="22" t="inlineStr">
        <is>
          <t>Your Net Price</t>
        </is>
      </c>
      <c r="I3" s="22" t="inlineStr">
        <is>
          <t>Std / Box Pkg</t>
        </is>
      </c>
      <c r="J3" s="22" t="inlineStr">
        <is>
          <t>Key Features / Notes</t>
        </is>
      </c>
    </row>
    <row r="4">
      <c r="A4" s="23" t="inlineStr">
        <is>
          <t>Piping Clamps</t>
        </is>
      </c>
      <c r="B4" s="23" t="inlineStr">
        <is>
          <t>UPVC Pipe Clamps</t>
        </is>
      </c>
      <c r="C4" s="23" t="inlineStr">
        <is>
          <t>Double Nail Clamp for uPVC Pipe</t>
        </is>
      </c>
      <c r="D4" s="24" t="inlineStr">
        <is>
          <t>BP-U015</t>
        </is>
      </c>
      <c r="E4" s="24" t="inlineStr">
        <is>
          <t>15mm</t>
        </is>
      </c>
      <c r="F4" s="24" t="inlineStr">
        <is>
          <t>Plastic/Steel</t>
        </is>
      </c>
      <c r="G4" s="33" t="n">
        <v>3.1</v>
      </c>
      <c r="H4" s="34">
        <f>G4*(1-Overview!$B$8)</f>
        <v/>
      </c>
      <c r="I4" s="24" t="inlineStr">
        <is>
          <t>100 PCS</t>
        </is>
      </c>
      <c r="J4" s="23" t="inlineStr">
        <is>
          <t>Double nail uPVC support clamp</t>
        </is>
      </c>
    </row>
    <row r="5">
      <c r="A5" s="14" t="inlineStr">
        <is>
          <t>Piping Clamps</t>
        </is>
      </c>
      <c r="B5" s="14" t="inlineStr">
        <is>
          <t>UPVC Pipe Clamps</t>
        </is>
      </c>
      <c r="C5" s="14" t="inlineStr">
        <is>
          <t>Double Nail Clamp for uPVC Pipe</t>
        </is>
      </c>
      <c r="D5" s="27" t="inlineStr">
        <is>
          <t>BP-U020</t>
        </is>
      </c>
      <c r="E5" s="27" t="inlineStr">
        <is>
          <t>20mm</t>
        </is>
      </c>
      <c r="F5" s="27" t="inlineStr">
        <is>
          <t>Plastic/Steel</t>
        </is>
      </c>
      <c r="G5" s="35" t="n">
        <v>5</v>
      </c>
      <c r="H5" s="34">
        <f>G5*(1-Overview!$B$8)</f>
        <v/>
      </c>
      <c r="I5" s="27" t="inlineStr">
        <is>
          <t>100 PCS</t>
        </is>
      </c>
      <c r="J5" s="14" t="inlineStr">
        <is>
          <t>Double nail uPVC support clamp</t>
        </is>
      </c>
    </row>
    <row r="6">
      <c r="A6" s="23" t="inlineStr">
        <is>
          <t>Piping Clamps</t>
        </is>
      </c>
      <c r="B6" s="23" t="inlineStr">
        <is>
          <t>UPVC Pipe Clamps</t>
        </is>
      </c>
      <c r="C6" s="23" t="inlineStr">
        <is>
          <t>Double Nail Clamp for uPVC Pipe</t>
        </is>
      </c>
      <c r="D6" s="24" t="inlineStr">
        <is>
          <t>BP-U025</t>
        </is>
      </c>
      <c r="E6" s="24" t="inlineStr">
        <is>
          <t>25mm</t>
        </is>
      </c>
      <c r="F6" s="24" t="inlineStr">
        <is>
          <t>Plastic/Steel</t>
        </is>
      </c>
      <c r="G6" s="33" t="n">
        <v>6.4</v>
      </c>
      <c r="H6" s="34">
        <f>G6*(1-Overview!$B$8)</f>
        <v/>
      </c>
      <c r="I6" s="24" t="inlineStr">
        <is>
          <t>100 PCS</t>
        </is>
      </c>
      <c r="J6" s="23" t="inlineStr">
        <is>
          <t>Double nail uPVC support clamp</t>
        </is>
      </c>
    </row>
    <row r="7">
      <c r="A7" s="14" t="inlineStr">
        <is>
          <t>Piping Clamps</t>
        </is>
      </c>
      <c r="B7" s="14" t="inlineStr">
        <is>
          <t>UPVC Pipe Clamps</t>
        </is>
      </c>
      <c r="C7" s="14" t="inlineStr">
        <is>
          <t>Double Nail Clamp for uPVC Pipe</t>
        </is>
      </c>
      <c r="D7" s="27" t="inlineStr">
        <is>
          <t>BP-U032</t>
        </is>
      </c>
      <c r="E7" s="27" t="inlineStr">
        <is>
          <t>32mm</t>
        </is>
      </c>
      <c r="F7" s="27" t="inlineStr">
        <is>
          <t>Plastic/Steel</t>
        </is>
      </c>
      <c r="G7" s="35" t="n">
        <v>9.1</v>
      </c>
      <c r="H7" s="34">
        <f>G7*(1-Overview!$B$8)</f>
        <v/>
      </c>
      <c r="I7" s="27" t="inlineStr">
        <is>
          <t>50 PCS</t>
        </is>
      </c>
      <c r="J7" s="14" t="inlineStr">
        <is>
          <t>Double nail uPVC support clamp</t>
        </is>
      </c>
    </row>
    <row r="8">
      <c r="A8" s="23" t="inlineStr">
        <is>
          <t>Piping Clamps</t>
        </is>
      </c>
      <c r="B8" s="23" t="inlineStr">
        <is>
          <t>UPVC Pipe Clamps</t>
        </is>
      </c>
      <c r="C8" s="23" t="inlineStr">
        <is>
          <t>Double Nail Clamp for uPVC Pipe</t>
        </is>
      </c>
      <c r="D8" s="24" t="inlineStr">
        <is>
          <t>BP-U040</t>
        </is>
      </c>
      <c r="E8" s="24" t="inlineStr">
        <is>
          <t>40mm</t>
        </is>
      </c>
      <c r="F8" s="24" t="inlineStr">
        <is>
          <t>Plastic/Steel</t>
        </is>
      </c>
      <c r="G8" s="33" t="n">
        <v>11.7</v>
      </c>
      <c r="H8" s="34">
        <f>G8*(1-Overview!$B$8)</f>
        <v/>
      </c>
      <c r="I8" s="24" t="inlineStr">
        <is>
          <t>50 PCS</t>
        </is>
      </c>
      <c r="J8" s="23" t="inlineStr">
        <is>
          <t>Double nail uPVC support clamp</t>
        </is>
      </c>
    </row>
    <row r="9">
      <c r="A9" s="14" t="inlineStr">
        <is>
          <t>Piping Clamps</t>
        </is>
      </c>
      <c r="B9" s="14" t="inlineStr">
        <is>
          <t>UPVC Pipe Clamps</t>
        </is>
      </c>
      <c r="C9" s="14" t="inlineStr">
        <is>
          <t>Double Nail Clamp for uPVC Pipe</t>
        </is>
      </c>
      <c r="D9" s="27" t="inlineStr">
        <is>
          <t>BP-U050</t>
        </is>
      </c>
      <c r="E9" s="27" t="inlineStr">
        <is>
          <t>50mm</t>
        </is>
      </c>
      <c r="F9" s="27" t="inlineStr">
        <is>
          <t>Plastic/Steel</t>
        </is>
      </c>
      <c r="G9" s="35" t="n">
        <v>15.6</v>
      </c>
      <c r="H9" s="34">
        <f>G9*(1-Overview!$B$8)</f>
        <v/>
      </c>
      <c r="I9" s="27" t="inlineStr">
        <is>
          <t>25 PCS</t>
        </is>
      </c>
      <c r="J9" s="14" t="inlineStr">
        <is>
          <t>Double nail uPVC support clamp</t>
        </is>
      </c>
    </row>
    <row r="10">
      <c r="A10" s="23" t="inlineStr">
        <is>
          <t>Piping Clamps</t>
        </is>
      </c>
      <c r="B10" s="23" t="inlineStr">
        <is>
          <t>CPVC Pipe Clamps</t>
        </is>
      </c>
      <c r="C10" s="23" t="inlineStr">
        <is>
          <t>Double Nail Clamp for cPVC Pipe</t>
        </is>
      </c>
      <c r="D10" s="24" t="inlineStr">
        <is>
          <t>BP-C020</t>
        </is>
      </c>
      <c r="E10" s="24" t="inlineStr">
        <is>
          <t>20mm</t>
        </is>
      </c>
      <c r="F10" s="24" t="inlineStr">
        <is>
          <t>Plastic/Steel</t>
        </is>
      </c>
      <c r="G10" s="33" t="n">
        <v>3.1</v>
      </c>
      <c r="H10" s="34">
        <f>G10*(1-Overview!$B$8)</f>
        <v/>
      </c>
      <c r="I10" s="24" t="inlineStr">
        <is>
          <t>100 PCS</t>
        </is>
      </c>
      <c r="J10" s="23" t="inlineStr">
        <is>
          <t>Double nail cPVC support clamp</t>
        </is>
      </c>
    </row>
    <row r="11">
      <c r="A11" s="14" t="inlineStr">
        <is>
          <t>Piping Clamps</t>
        </is>
      </c>
      <c r="B11" s="14" t="inlineStr">
        <is>
          <t>CPVC Pipe Clamps</t>
        </is>
      </c>
      <c r="C11" s="14" t="inlineStr">
        <is>
          <t>Double Nail Clamp for cPVC Pipe</t>
        </is>
      </c>
      <c r="D11" s="27" t="inlineStr">
        <is>
          <t>BP-C025</t>
        </is>
      </c>
      <c r="E11" s="27" t="inlineStr">
        <is>
          <t>25mm</t>
        </is>
      </c>
      <c r="F11" s="27" t="inlineStr">
        <is>
          <t>Plastic/Steel</t>
        </is>
      </c>
      <c r="G11" s="35" t="n">
        <v>5</v>
      </c>
      <c r="H11" s="34">
        <f>G11*(1-Overview!$B$8)</f>
        <v/>
      </c>
      <c r="I11" s="27" t="inlineStr">
        <is>
          <t>100 PCS</t>
        </is>
      </c>
      <c r="J11" s="14" t="inlineStr">
        <is>
          <t>Double nail cPVC support clamp</t>
        </is>
      </c>
    </row>
    <row r="12">
      <c r="A12" s="23" t="inlineStr">
        <is>
          <t>Piping Clamps</t>
        </is>
      </c>
      <c r="B12" s="23" t="inlineStr">
        <is>
          <t>CPVC Pipe Clamps</t>
        </is>
      </c>
      <c r="C12" s="23" t="inlineStr">
        <is>
          <t>Double Nail Clamp for cPVC Pipe</t>
        </is>
      </c>
      <c r="D12" s="24" t="inlineStr">
        <is>
          <t>BP-C032</t>
        </is>
      </c>
      <c r="E12" s="24" t="inlineStr">
        <is>
          <t>32mm</t>
        </is>
      </c>
      <c r="F12" s="24" t="inlineStr">
        <is>
          <t>Plastic/Steel</t>
        </is>
      </c>
      <c r="G12" s="33" t="n">
        <v>8</v>
      </c>
      <c r="H12" s="34">
        <f>G12*(1-Overview!$B$8)</f>
        <v/>
      </c>
      <c r="I12" s="24" t="inlineStr">
        <is>
          <t>50 PCS</t>
        </is>
      </c>
      <c r="J12" s="23" t="inlineStr">
        <is>
          <t>Double nail cPVC support clamp</t>
        </is>
      </c>
    </row>
    <row r="13">
      <c r="A13" s="14" t="inlineStr">
        <is>
          <t>Piping Clamps</t>
        </is>
      </c>
      <c r="B13" s="14" t="inlineStr">
        <is>
          <t>CPVC Pipe Clamps</t>
        </is>
      </c>
      <c r="C13" s="14" t="inlineStr">
        <is>
          <t>Double Nail Clamp for cPVC Pipe</t>
        </is>
      </c>
      <c r="D13" s="27" t="inlineStr">
        <is>
          <t>BP-C040</t>
        </is>
      </c>
      <c r="E13" s="27" t="inlineStr">
        <is>
          <t>40mm</t>
        </is>
      </c>
      <c r="F13" s="27" t="inlineStr">
        <is>
          <t>Plastic/Steel</t>
        </is>
      </c>
      <c r="G13" s="35" t="n">
        <v>9.1</v>
      </c>
      <c r="H13" s="34">
        <f>G13*(1-Overview!$B$8)</f>
        <v/>
      </c>
      <c r="I13" s="27" t="inlineStr">
        <is>
          <t>50 PCS</t>
        </is>
      </c>
      <c r="J13" s="14" t="inlineStr">
        <is>
          <t>Double nail cPVC support clamp</t>
        </is>
      </c>
    </row>
    <row r="14">
      <c r="A14" s="23" t="inlineStr">
        <is>
          <t>Piping Clamps</t>
        </is>
      </c>
      <c r="B14" s="23" t="inlineStr">
        <is>
          <t>CPVC Pipe Clamps</t>
        </is>
      </c>
      <c r="C14" s="23" t="inlineStr">
        <is>
          <t>Double Nail Clamp for cPVC Pipe</t>
        </is>
      </c>
      <c r="D14" s="24" t="inlineStr">
        <is>
          <t>BP-C050</t>
        </is>
      </c>
      <c r="E14" s="24" t="inlineStr">
        <is>
          <t>50mm</t>
        </is>
      </c>
      <c r="F14" s="24" t="inlineStr">
        <is>
          <t>Plastic/Steel</t>
        </is>
      </c>
      <c r="G14" s="33" t="n">
        <v>19.1</v>
      </c>
      <c r="H14" s="34">
        <f>G14*(1-Overview!$B$8)</f>
        <v/>
      </c>
      <c r="I14" s="24" t="inlineStr">
        <is>
          <t>25 PCS</t>
        </is>
      </c>
      <c r="J14" s="23" t="inlineStr">
        <is>
          <t>Double nail cPVC support clamp</t>
        </is>
      </c>
    </row>
    <row r="15">
      <c r="A15" s="14" t="inlineStr">
        <is>
          <t>Piping Clamps</t>
        </is>
      </c>
      <c r="B15" s="14" t="inlineStr">
        <is>
          <t>Saijal Clamps</t>
        </is>
      </c>
      <c r="C15" s="14" t="inlineStr">
        <is>
          <t>CPVC Circuit Testing Plug</t>
        </is>
      </c>
      <c r="D15" s="27" t="inlineStr">
        <is>
          <t>SE-C-001</t>
        </is>
      </c>
      <c r="E15" s="27" t="inlineStr">
        <is>
          <t>15mm</t>
        </is>
      </c>
      <c r="F15" s="27" t="inlineStr">
        <is>
          <t>UPVC</t>
        </is>
      </c>
      <c r="G15" s="35" t="n">
        <v>8</v>
      </c>
      <c r="H15" s="34">
        <f>G15*(1-Overview!$B$8)</f>
        <v/>
      </c>
      <c r="I15" s="27" t="inlineStr">
        <is>
          <t>100 PCS</t>
        </is>
      </c>
      <c r="J15" s="14" t="inlineStr">
        <is>
          <t>Circuit testing plug</t>
        </is>
      </c>
    </row>
    <row r="16">
      <c r="A16" s="23" t="inlineStr">
        <is>
          <t>Piping Clamps</t>
        </is>
      </c>
      <c r="B16" s="23" t="inlineStr">
        <is>
          <t>Saijal Clamps</t>
        </is>
      </c>
      <c r="C16" s="23" t="inlineStr">
        <is>
          <t>UPVC Metal Clamp</t>
        </is>
      </c>
      <c r="D16" s="24" t="inlineStr">
        <is>
          <t>SUMC15</t>
        </is>
      </c>
      <c r="E16" s="24" t="inlineStr">
        <is>
          <t>15mm</t>
        </is>
      </c>
      <c r="F16" s="24" t="inlineStr">
        <is>
          <t>UPVC Covered Metal</t>
        </is>
      </c>
      <c r="G16" s="33" t="n">
        <v>6.6</v>
      </c>
      <c r="H16" s="34">
        <f>G16*(1-Overview!$B$8)</f>
        <v/>
      </c>
      <c r="I16" s="24" t="inlineStr">
        <is>
          <t>200 PCS</t>
        </is>
      </c>
      <c r="J16" s="23" t="inlineStr">
        <is>
          <t>Saijal brand clamp</t>
        </is>
      </c>
    </row>
    <row r="17">
      <c r="A17" s="14" t="inlineStr">
        <is>
          <t>Piping Clamps</t>
        </is>
      </c>
      <c r="B17" s="14" t="inlineStr">
        <is>
          <t>Saijal Clamps</t>
        </is>
      </c>
      <c r="C17" s="14" t="inlineStr">
        <is>
          <t>UPVC Metal Clamp</t>
        </is>
      </c>
      <c r="D17" s="27" t="inlineStr">
        <is>
          <t>SUMC20</t>
        </is>
      </c>
      <c r="E17" s="27" t="inlineStr">
        <is>
          <t>20mm</t>
        </is>
      </c>
      <c r="F17" s="27" t="inlineStr">
        <is>
          <t>UPVC Covered Metal</t>
        </is>
      </c>
      <c r="G17" s="35" t="n">
        <v>7.3</v>
      </c>
      <c r="H17" s="34">
        <f>G17*(1-Overview!$B$8)</f>
        <v/>
      </c>
      <c r="I17" s="27" t="inlineStr">
        <is>
          <t>100 PCS</t>
        </is>
      </c>
      <c r="J17" s="14" t="inlineStr">
        <is>
          <t>Saijal brand clamp</t>
        </is>
      </c>
    </row>
    <row r="18">
      <c r="A18" s="23" t="inlineStr">
        <is>
          <t>Piping Clamps</t>
        </is>
      </c>
      <c r="B18" s="23" t="inlineStr">
        <is>
          <t>Saijal Clamps</t>
        </is>
      </c>
      <c r="C18" s="23" t="inlineStr">
        <is>
          <t>UPVC Metal Clamp</t>
        </is>
      </c>
      <c r="D18" s="24" t="inlineStr">
        <is>
          <t>SUMC25</t>
        </is>
      </c>
      <c r="E18" s="24" t="inlineStr">
        <is>
          <t>25mm</t>
        </is>
      </c>
      <c r="F18" s="24" t="inlineStr">
        <is>
          <t>UPVC Covered Metal</t>
        </is>
      </c>
      <c r="G18" s="33" t="n">
        <v>8.1</v>
      </c>
      <c r="H18" s="34">
        <f>G18*(1-Overview!$B$8)</f>
        <v/>
      </c>
      <c r="I18" s="24" t="inlineStr">
        <is>
          <t>100 PCS</t>
        </is>
      </c>
      <c r="J18" s="23" t="inlineStr">
        <is>
          <t>Saijal brand clamp</t>
        </is>
      </c>
    </row>
    <row r="19">
      <c r="A19" s="14" t="inlineStr">
        <is>
          <t>Piping Clamps</t>
        </is>
      </c>
      <c r="B19" s="14" t="inlineStr">
        <is>
          <t>Saijal Clamps</t>
        </is>
      </c>
      <c r="C19" s="14" t="inlineStr">
        <is>
          <t>UPVC Metal Clamp</t>
        </is>
      </c>
      <c r="D19" s="27" t="inlineStr">
        <is>
          <t>SUMC32</t>
        </is>
      </c>
      <c r="E19" s="27" t="inlineStr">
        <is>
          <t>32mm</t>
        </is>
      </c>
      <c r="F19" s="27" t="inlineStr">
        <is>
          <t>UPVC Covered Metal</t>
        </is>
      </c>
      <c r="G19" s="35" t="n">
        <v>10.8</v>
      </c>
      <c r="H19" s="34">
        <f>G19*(1-Overview!$B$8)</f>
        <v/>
      </c>
      <c r="I19" s="27" t="inlineStr">
        <is>
          <t>50 PCS</t>
        </is>
      </c>
      <c r="J19" s="14" t="inlineStr">
        <is>
          <t>Saijal brand clamp</t>
        </is>
      </c>
    </row>
    <row r="20">
      <c r="A20" s="23" t="inlineStr">
        <is>
          <t>Piping Clamps</t>
        </is>
      </c>
      <c r="B20" s="23" t="inlineStr">
        <is>
          <t>Saijal Clamps</t>
        </is>
      </c>
      <c r="C20" s="23" t="inlineStr">
        <is>
          <t>UPVC Metal Clamp</t>
        </is>
      </c>
      <c r="D20" s="24" t="inlineStr">
        <is>
          <t>SUMC40</t>
        </is>
      </c>
      <c r="E20" s="24" t="inlineStr">
        <is>
          <t>40mm</t>
        </is>
      </c>
      <c r="F20" s="24" t="inlineStr">
        <is>
          <t>UPVC Covered Metal</t>
        </is>
      </c>
      <c r="G20" s="33" t="n">
        <v>12.2</v>
      </c>
      <c r="H20" s="34">
        <f>G20*(1-Overview!$B$8)</f>
        <v/>
      </c>
      <c r="I20" s="24" t="inlineStr">
        <is>
          <t>50 PCS</t>
        </is>
      </c>
      <c r="J20" s="23" t="inlineStr">
        <is>
          <t>Saijal brand clamp</t>
        </is>
      </c>
    </row>
    <row r="21">
      <c r="A21" s="14" t="inlineStr">
        <is>
          <t>Piping Clamps</t>
        </is>
      </c>
      <c r="B21" s="14" t="inlineStr">
        <is>
          <t>Saijal Clamps</t>
        </is>
      </c>
      <c r="C21" s="14" t="inlineStr">
        <is>
          <t>UPVC Metal Clamp</t>
        </is>
      </c>
      <c r="D21" s="27" t="inlineStr">
        <is>
          <t>SUMC50</t>
        </is>
      </c>
      <c r="E21" s="27" t="inlineStr">
        <is>
          <t>50mm</t>
        </is>
      </c>
      <c r="F21" s="27" t="inlineStr">
        <is>
          <t>UPVC Covered Metal</t>
        </is>
      </c>
      <c r="G21" s="35" t="n">
        <v>15.3</v>
      </c>
      <c r="H21" s="34">
        <f>G21*(1-Overview!$B$8)</f>
        <v/>
      </c>
      <c r="I21" s="27" t="inlineStr">
        <is>
          <t>25 PCS</t>
        </is>
      </c>
      <c r="J21" s="14" t="inlineStr">
        <is>
          <t>Saijal brand clamp</t>
        </is>
      </c>
    </row>
    <row r="22">
      <c r="A22" s="23" t="inlineStr">
        <is>
          <t>Piping Clamps</t>
        </is>
      </c>
      <c r="B22" s="23" t="inlineStr">
        <is>
          <t>Saijal Clamps</t>
        </is>
      </c>
      <c r="C22" s="23" t="inlineStr">
        <is>
          <t>CPVC Metal Clamp</t>
        </is>
      </c>
      <c r="D22" s="24" t="inlineStr">
        <is>
          <t>SCMC20</t>
        </is>
      </c>
      <c r="E22" s="24" t="inlineStr">
        <is>
          <t>20mm</t>
        </is>
      </c>
      <c r="F22" s="24" t="inlineStr">
        <is>
          <t>CPVC Covered Metal</t>
        </is>
      </c>
      <c r="G22" s="33" t="n">
        <v>6.1</v>
      </c>
      <c r="H22" s="34">
        <f>G22*(1-Overview!$B$8)</f>
        <v/>
      </c>
      <c r="I22" s="24" t="inlineStr">
        <is>
          <t>200 PCS</t>
        </is>
      </c>
      <c r="J22" s="23" t="inlineStr">
        <is>
          <t>Saijal brand clamp</t>
        </is>
      </c>
    </row>
    <row r="23">
      <c r="A23" s="14" t="inlineStr">
        <is>
          <t>Piping Clamps</t>
        </is>
      </c>
      <c r="B23" s="14" t="inlineStr">
        <is>
          <t>Saijal Clamps</t>
        </is>
      </c>
      <c r="C23" s="14" t="inlineStr">
        <is>
          <t>CPVC Metal Clamp</t>
        </is>
      </c>
      <c r="D23" s="27" t="inlineStr">
        <is>
          <t>SCMC25</t>
        </is>
      </c>
      <c r="E23" s="27" t="inlineStr">
        <is>
          <t>25mm</t>
        </is>
      </c>
      <c r="F23" s="27" t="inlineStr">
        <is>
          <t>CPVC Covered Metal</t>
        </is>
      </c>
      <c r="G23" s="35" t="n">
        <v>7.5</v>
      </c>
      <c r="H23" s="34">
        <f>G23*(1-Overview!$B$8)</f>
        <v/>
      </c>
      <c r="I23" s="27" t="inlineStr">
        <is>
          <t>100 PCS</t>
        </is>
      </c>
      <c r="J23" s="14" t="inlineStr">
        <is>
          <t>Saijal brand clamp</t>
        </is>
      </c>
    </row>
    <row r="24">
      <c r="A24" s="23" t="inlineStr">
        <is>
          <t>Piping Clamps</t>
        </is>
      </c>
      <c r="B24" s="23" t="inlineStr">
        <is>
          <t>Saijal Clamps</t>
        </is>
      </c>
      <c r="C24" s="23" t="inlineStr">
        <is>
          <t>CPVC Metal Clamp</t>
        </is>
      </c>
      <c r="D24" s="24" t="inlineStr">
        <is>
          <t>SCMC32</t>
        </is>
      </c>
      <c r="E24" s="24" t="inlineStr">
        <is>
          <t>32mm</t>
        </is>
      </c>
      <c r="F24" s="24" t="inlineStr">
        <is>
          <t>CPVC Covered Metal</t>
        </is>
      </c>
      <c r="G24" s="33" t="n">
        <v>8.5</v>
      </c>
      <c r="H24" s="34">
        <f>G24*(1-Overview!$B$8)</f>
        <v/>
      </c>
      <c r="I24" s="24" t="inlineStr">
        <is>
          <t>100 PCS</t>
        </is>
      </c>
      <c r="J24" s="23" t="inlineStr">
        <is>
          <t>Saijal brand clamp</t>
        </is>
      </c>
    </row>
    <row r="25">
      <c r="A25" s="14" t="inlineStr">
        <is>
          <t>Piping Clamps</t>
        </is>
      </c>
      <c r="B25" s="14" t="inlineStr">
        <is>
          <t>Saijal Clamps</t>
        </is>
      </c>
      <c r="C25" s="14" t="inlineStr">
        <is>
          <t>CPVC Metal Clamp</t>
        </is>
      </c>
      <c r="D25" s="27" t="inlineStr">
        <is>
          <t>SCMC40</t>
        </is>
      </c>
      <c r="E25" s="27" t="inlineStr">
        <is>
          <t>40mm</t>
        </is>
      </c>
      <c r="F25" s="27" t="inlineStr">
        <is>
          <t>CPVC Covered Metal</t>
        </is>
      </c>
      <c r="G25" s="35" t="n">
        <v>11.1</v>
      </c>
      <c r="H25" s="34">
        <f>G25*(1-Overview!$B$8)</f>
        <v/>
      </c>
      <c r="I25" s="27" t="inlineStr">
        <is>
          <t>50 PCS</t>
        </is>
      </c>
      <c r="J25" s="14" t="inlineStr">
        <is>
          <t>Saijal brand clamp</t>
        </is>
      </c>
    </row>
    <row r="26">
      <c r="A26" s="23" t="inlineStr">
        <is>
          <t>Piping Clamps</t>
        </is>
      </c>
      <c r="B26" s="23" t="inlineStr">
        <is>
          <t>Saijal Clamps</t>
        </is>
      </c>
      <c r="C26" s="23" t="inlineStr">
        <is>
          <t>CPVC Metal Clamp</t>
        </is>
      </c>
      <c r="D26" s="24" t="inlineStr">
        <is>
          <t>SCMC50</t>
        </is>
      </c>
      <c r="E26" s="24" t="inlineStr">
        <is>
          <t>50mm</t>
        </is>
      </c>
      <c r="F26" s="24" t="inlineStr">
        <is>
          <t>CPVC Covered Metal</t>
        </is>
      </c>
      <c r="G26" s="33" t="n">
        <v>13.6</v>
      </c>
      <c r="H26" s="34">
        <f>G26*(1-Overview!$B$8)</f>
        <v/>
      </c>
      <c r="I26" s="24" t="inlineStr">
        <is>
          <t>25 PCS</t>
        </is>
      </c>
      <c r="J26" s="23" t="inlineStr">
        <is>
          <t>Saijal brand clamp</t>
        </is>
      </c>
    </row>
    <row r="27">
      <c r="C27" s="29" t="inlineStr">
        <is>
          <t>Total Summary / Averages</t>
        </is>
      </c>
      <c r="D27" s="30">
        <f>COUNTA(D4:D26)&amp;" Items"</f>
        <v/>
      </c>
      <c r="G27" s="36">
        <f>AVERAGE(G4:G26)</f>
        <v/>
      </c>
      <c r="H27" s="37">
        <f>AVERAGE(H4:H26)</f>
        <v/>
      </c>
    </row>
  </sheetData>
  <autoFilter ref="A3:J26"/>
  <hyperlinks>
    <hyperlink xmlns:r="http://schemas.openxmlformats.org/officeDocument/2006/relationships" ref="H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2026-08-27T05:30:09Z</dcterms:created>
  <dcterms:modified xmlns:dcterms="http://purl.org/dc/terms/" xmlns:xsi="http://www.w3.org/2001/XMLSchema-instance" xsi:type="dcterms:W3CDTF">2026-08-27T05:30:09Z</dcterms:modified>
</cp:coreProperties>
</file>